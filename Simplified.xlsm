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danie\Desktop\"/>
    </mc:Choice>
  </mc:AlternateContent>
  <xr:revisionPtr revIDLastSave="0" documentId="13_ncr:1_{1F9CC592-206E-43AF-B394-067B899ACB15}" xr6:coauthVersionLast="45" xr6:coauthVersionMax="45" xr10:uidLastSave="{00000000-0000-0000-0000-000000000000}"/>
  <bookViews>
    <workbookView xWindow="-108" yWindow="-108" windowWidth="23256" windowHeight="12576" tabRatio="656" activeTab="2" xr2:uid="{00000000-000D-0000-FFFF-FFFF00000000}"/>
  </bookViews>
  <sheets>
    <sheet name="Geral" sheetId="16" r:id="rId1"/>
    <sheet name="Tickets Recebidos" sheetId="3" r:id="rId2"/>
    <sheet name="Validações" sheetId="29" r:id="rId3"/>
  </sheets>
  <definedNames>
    <definedName name="_xlnm._FilterDatabase" localSheetId="1" hidden="1">'Tickets Recebidos'!$A$3:$H$17</definedName>
  </definedNames>
  <calcPr calcId="181029"/>
</workbook>
</file>

<file path=xl/calcChain.xml><?xml version="1.0" encoding="utf-8"?>
<calcChain xmlns="http://schemas.openxmlformats.org/spreadsheetml/2006/main">
  <c r="J6" i="3" l="1"/>
  <c r="J7" i="3"/>
  <c r="J8" i="3"/>
  <c r="J9" i="3"/>
  <c r="J10" i="3"/>
  <c r="K6" i="3"/>
  <c r="K7" i="3"/>
  <c r="K8" i="3"/>
  <c r="K9" i="3"/>
  <c r="K10" i="3"/>
  <c r="L6" i="3"/>
  <c r="L7" i="3"/>
  <c r="L8" i="3"/>
  <c r="L9" i="3"/>
  <c r="L10" i="3"/>
  <c r="N5" i="3"/>
  <c r="N6" i="3"/>
  <c r="N7" i="3"/>
  <c r="N8" i="3"/>
  <c r="N9" i="3"/>
  <c r="N10" i="3"/>
  <c r="J11" i="3"/>
  <c r="J12" i="3"/>
  <c r="J13" i="3"/>
  <c r="K11" i="3"/>
  <c r="K12" i="3"/>
  <c r="K13" i="3"/>
  <c r="L11" i="3"/>
  <c r="L12" i="3"/>
  <c r="L13" i="3"/>
  <c r="N11" i="3"/>
  <c r="N12" i="3"/>
  <c r="N13" i="3"/>
  <c r="J14" i="3"/>
  <c r="K14" i="3"/>
  <c r="L14" i="3"/>
  <c r="N14" i="3"/>
  <c r="J15" i="3"/>
  <c r="K15" i="3"/>
  <c r="L15" i="3"/>
  <c r="N15" i="3"/>
  <c r="J16" i="3"/>
  <c r="K16" i="3"/>
  <c r="L16" i="3"/>
  <c r="N16" i="3"/>
  <c r="J4" i="3"/>
  <c r="K4" i="3"/>
  <c r="L4" i="3"/>
  <c r="N4" i="3"/>
  <c r="R39" i="16"/>
  <c r="B52" i="16"/>
  <c r="E31" i="16" l="1" a="1"/>
  <c r="E31" i="16" s="1"/>
  <c r="E32" i="16" a="1"/>
  <c r="E32" i="16" s="1"/>
  <c r="E33" i="16" a="1"/>
  <c r="E33" i="16" s="1"/>
  <c r="E34" i="16" a="1"/>
  <c r="E34" i="16" s="1"/>
  <c r="E35" i="16" a="1"/>
  <c r="E35" i="16" s="1"/>
  <c r="C31" i="16" a="1"/>
  <c r="C31" i="16" s="1"/>
  <c r="C32" i="16" a="1"/>
  <c r="C32" i="16" s="1"/>
  <c r="C33" i="16" a="1"/>
  <c r="C33" i="16" s="1"/>
  <c r="C34" i="16" a="1"/>
  <c r="C34" i="16" s="1"/>
  <c r="C35" i="16" a="1"/>
  <c r="C35" i="16" s="1"/>
  <c r="N14" i="16"/>
  <c r="R49" i="16" l="1"/>
  <c r="R50" i="16"/>
  <c r="R51" i="16"/>
  <c r="R52" i="16"/>
  <c r="Q49" i="16"/>
  <c r="Q50" i="16"/>
  <c r="Q51" i="16"/>
  <c r="Q52" i="16"/>
  <c r="P49" i="16"/>
  <c r="P50" i="16"/>
  <c r="P51" i="16"/>
  <c r="P52" i="16"/>
  <c r="O49" i="16"/>
  <c r="O50" i="16"/>
  <c r="O51" i="16"/>
  <c r="O52" i="16"/>
  <c r="Q32" i="16"/>
  <c r="Q33" i="16"/>
  <c r="Q34" i="16"/>
  <c r="Q35" i="16"/>
  <c r="P32" i="16"/>
  <c r="P33" i="16"/>
  <c r="P34" i="16"/>
  <c r="P35" i="16"/>
  <c r="O32" i="16"/>
  <c r="O33" i="16"/>
  <c r="O34" i="16"/>
  <c r="O35" i="16"/>
  <c r="R32" i="16"/>
  <c r="R33" i="16"/>
  <c r="R34" i="16"/>
  <c r="R35" i="16"/>
  <c r="R15" i="16"/>
  <c r="R16" i="16"/>
  <c r="R17" i="16"/>
  <c r="R18" i="16"/>
  <c r="F15" i="16"/>
  <c r="F16" i="16"/>
  <c r="F17" i="16"/>
  <c r="F18" i="16"/>
  <c r="Q15" i="16"/>
  <c r="Q16" i="16"/>
  <c r="Q17" i="16"/>
  <c r="Q18" i="16"/>
  <c r="P15" i="16"/>
  <c r="P16" i="16"/>
  <c r="P17" i="16"/>
  <c r="P18" i="16"/>
  <c r="O15" i="16"/>
  <c r="O16" i="16"/>
  <c r="O17" i="16"/>
  <c r="O18" i="16"/>
  <c r="E15" i="16"/>
  <c r="E16" i="16"/>
  <c r="E17" i="16"/>
  <c r="E18" i="16"/>
  <c r="D15" i="16"/>
  <c r="D16" i="16"/>
  <c r="D17" i="16"/>
  <c r="D18" i="16"/>
  <c r="C15" i="16"/>
  <c r="C16" i="16"/>
  <c r="C17" i="16"/>
  <c r="C18" i="16"/>
  <c r="N15" i="16"/>
  <c r="N16" i="16"/>
  <c r="N17" i="16"/>
  <c r="N18" i="16"/>
  <c r="E14" i="16" l="1"/>
  <c r="D14" i="16"/>
  <c r="C14" i="16"/>
  <c r="F14" i="16" s="1"/>
  <c r="O14" i="16"/>
  <c r="P14" i="16"/>
  <c r="Q14" i="16"/>
  <c r="E7" i="16"/>
  <c r="E11" i="16"/>
  <c r="E8" i="16"/>
  <c r="E12" i="16"/>
  <c r="E9" i="16"/>
  <c r="E13" i="16"/>
  <c r="E10" i="16"/>
  <c r="E6" i="16"/>
  <c r="D7" i="16"/>
  <c r="D11" i="16"/>
  <c r="D8" i="16"/>
  <c r="D12" i="16"/>
  <c r="D9" i="16"/>
  <c r="D13" i="16"/>
  <c r="D10" i="16"/>
  <c r="D6" i="16"/>
  <c r="C7" i="16"/>
  <c r="C11" i="16"/>
  <c r="C9" i="16"/>
  <c r="C8" i="16"/>
  <c r="C12" i="16"/>
  <c r="C13" i="16"/>
  <c r="C10" i="16"/>
  <c r="C6" i="16"/>
  <c r="F10" i="16" l="1"/>
  <c r="F13" i="16"/>
  <c r="F11" i="16"/>
  <c r="R14" i="16"/>
  <c r="F7" i="16"/>
  <c r="F6" i="16"/>
  <c r="F9" i="16"/>
  <c r="F8" i="16"/>
  <c r="F12" i="16"/>
  <c r="P22" i="16" l="1"/>
  <c r="N50" i="16" l="1"/>
  <c r="N51" i="16"/>
  <c r="N52" i="16"/>
  <c r="N53" i="16"/>
  <c r="N33" i="16"/>
  <c r="N34" i="16"/>
  <c r="N35" i="16"/>
  <c r="N36" i="16"/>
  <c r="Q39" i="16" l="1"/>
  <c r="C53" i="16"/>
  <c r="P39" i="16" l="1"/>
  <c r="O39" i="16" l="1"/>
  <c r="W2" i="16"/>
  <c r="C52" i="16" l="1"/>
  <c r="O19" i="16" l="1"/>
  <c r="C19" i="16"/>
  <c r="B51" i="16" l="1"/>
  <c r="C51" i="16" s="1"/>
  <c r="N23" i="16" l="1"/>
  <c r="N40" i="16"/>
  <c r="N49" i="16"/>
  <c r="N32" i="16"/>
  <c r="N48" i="16"/>
  <c r="N31" i="16"/>
  <c r="N47" i="16"/>
  <c r="N30" i="16"/>
  <c r="N46" i="16"/>
  <c r="N29" i="16"/>
  <c r="N45" i="16"/>
  <c r="N28" i="16"/>
  <c r="N44" i="16"/>
  <c r="N27" i="16"/>
  <c r="N26" i="16"/>
  <c r="N43" i="16"/>
  <c r="N42" i="16"/>
  <c r="N25" i="16"/>
  <c r="N41" i="16"/>
  <c r="N24" i="16"/>
  <c r="Q31" i="16" l="1"/>
  <c r="R31" i="16"/>
  <c r="O31" i="16"/>
  <c r="R48" i="16"/>
  <c r="P31" i="16"/>
  <c r="Q48" i="16"/>
  <c r="P48" i="16"/>
  <c r="O48" i="16"/>
  <c r="O24" i="16"/>
  <c r="R24" i="16"/>
  <c r="Q24" i="16"/>
  <c r="R43" i="16"/>
  <c r="P26" i="16"/>
  <c r="Q43" i="16"/>
  <c r="P43" i="16"/>
  <c r="O43" i="16"/>
  <c r="R28" i="16"/>
  <c r="O28" i="16"/>
  <c r="Q28" i="16"/>
  <c r="O30" i="16"/>
  <c r="R30" i="16"/>
  <c r="Q30" i="16"/>
  <c r="R41" i="16"/>
  <c r="P24" i="16"/>
  <c r="Q41" i="16"/>
  <c r="P41" i="16"/>
  <c r="O41" i="16"/>
  <c r="O26" i="16"/>
  <c r="R26" i="16"/>
  <c r="Q26" i="16"/>
  <c r="R45" i="16"/>
  <c r="P28" i="16"/>
  <c r="Q45" i="16"/>
  <c r="P45" i="16"/>
  <c r="O45" i="16"/>
  <c r="R47" i="16"/>
  <c r="P30" i="16"/>
  <c r="Q47" i="16"/>
  <c r="P47" i="16"/>
  <c r="O47" i="16"/>
  <c r="R25" i="16"/>
  <c r="O25" i="16"/>
  <c r="Q25" i="16"/>
  <c r="R27" i="16"/>
  <c r="O27" i="16"/>
  <c r="Q27" i="16"/>
  <c r="R29" i="16"/>
  <c r="O29" i="16"/>
  <c r="Q29" i="16"/>
  <c r="R40" i="16"/>
  <c r="P23" i="16"/>
  <c r="Q40" i="16"/>
  <c r="O40" i="16"/>
  <c r="P40" i="16"/>
  <c r="R42" i="16"/>
  <c r="P25" i="16"/>
  <c r="Q42" i="16"/>
  <c r="P42" i="16"/>
  <c r="O42" i="16"/>
  <c r="R44" i="16"/>
  <c r="P27" i="16"/>
  <c r="Q44" i="16"/>
  <c r="O44" i="16"/>
  <c r="P44" i="16"/>
  <c r="R46" i="16"/>
  <c r="P29" i="16"/>
  <c r="Q46" i="16"/>
  <c r="O46" i="16"/>
  <c r="P46" i="16"/>
  <c r="O23" i="16"/>
  <c r="R23" i="16"/>
  <c r="Q23" i="16"/>
  <c r="Q36" i="16" l="1"/>
  <c r="O36" i="16"/>
  <c r="P36" i="16"/>
  <c r="Q53" i="16"/>
  <c r="P53" i="16"/>
  <c r="R53" i="16"/>
  <c r="O53" i="16"/>
  <c r="R36" i="16"/>
  <c r="Q19" i="16" l="1"/>
  <c r="P19" i="16"/>
  <c r="N19" i="16"/>
  <c r="E19" i="16" l="1"/>
  <c r="N6" i="16" l="1"/>
  <c r="B34" i="16"/>
  <c r="Q6" i="16" l="1"/>
  <c r="P6" i="16"/>
  <c r="O6" i="16"/>
  <c r="T47" i="16"/>
  <c r="T43" i="16"/>
  <c r="T42" i="16"/>
  <c r="T41" i="16"/>
  <c r="T44" i="16"/>
  <c r="T45" i="16"/>
  <c r="T46" i="16"/>
  <c r="T40" i="16"/>
  <c r="R6" i="16" l="1"/>
  <c r="B35" i="16"/>
  <c r="B25" i="16"/>
  <c r="B27" i="16"/>
  <c r="B28" i="16"/>
  <c r="N12" i="16"/>
  <c r="N13" i="16"/>
  <c r="B32" i="16"/>
  <c r="B33" i="16"/>
  <c r="E28" i="16" l="1" a="1"/>
  <c r="E28" i="16" s="1"/>
  <c r="C28" i="16" a="1"/>
  <c r="C28" i="16" s="1"/>
  <c r="E27" i="16" a="1"/>
  <c r="E27" i="16" s="1"/>
  <c r="C27" i="16" a="1"/>
  <c r="C27" i="16" s="1"/>
  <c r="E25" i="16" a="1"/>
  <c r="E25" i="16" s="1"/>
  <c r="C25" i="16" a="1"/>
  <c r="C25" i="16" s="1"/>
  <c r="P13" i="16"/>
  <c r="O13" i="16"/>
  <c r="Q13" i="16"/>
  <c r="Q12" i="16"/>
  <c r="P12" i="16"/>
  <c r="O12" i="16"/>
  <c r="B26" i="16"/>
  <c r="N10" i="16"/>
  <c r="N9" i="16"/>
  <c r="B24" i="16"/>
  <c r="N8" i="16"/>
  <c r="N7" i="16"/>
  <c r="N11" i="16"/>
  <c r="B31" i="16"/>
  <c r="B23" i="16"/>
  <c r="B30" i="16"/>
  <c r="B29" i="16"/>
  <c r="E23" i="16" l="1" a="1"/>
  <c r="E23" i="16" s="1"/>
  <c r="C23" i="16" a="1"/>
  <c r="C23" i="16" s="1"/>
  <c r="C26" i="16" a="1"/>
  <c r="C26" i="16" s="1"/>
  <c r="E26" i="16" a="1"/>
  <c r="E26" i="16" s="1"/>
  <c r="C30" i="16" a="1"/>
  <c r="C30" i="16" s="1"/>
  <c r="E30" i="16" a="1"/>
  <c r="E30" i="16" s="1"/>
  <c r="E24" i="16" a="1"/>
  <c r="E24" i="16" s="1"/>
  <c r="C24" i="16" a="1"/>
  <c r="C24" i="16" s="1"/>
  <c r="E29" i="16" a="1"/>
  <c r="E29" i="16" s="1"/>
  <c r="C29" i="16" a="1"/>
  <c r="C29" i="16" s="1"/>
  <c r="R12" i="16"/>
  <c r="Q11" i="16"/>
  <c r="P11" i="16"/>
  <c r="O11" i="16"/>
  <c r="P9" i="16"/>
  <c r="O9" i="16"/>
  <c r="Q9" i="16"/>
  <c r="Q7" i="16"/>
  <c r="P7" i="16"/>
  <c r="O7" i="16"/>
  <c r="Q10" i="16"/>
  <c r="P10" i="16"/>
  <c r="O10" i="16"/>
  <c r="Q8" i="16"/>
  <c r="P8" i="16"/>
  <c r="O8" i="16"/>
  <c r="R13" i="16"/>
  <c r="C36" i="16" l="1"/>
  <c r="E36" i="16"/>
  <c r="R8" i="16"/>
  <c r="R11" i="16"/>
  <c r="R7" i="16"/>
  <c r="R9" i="16"/>
  <c r="R10" i="16"/>
  <c r="B50" i="16"/>
  <c r="C50" i="16" s="1"/>
  <c r="R19" i="16" l="1"/>
  <c r="E51" i="16"/>
  <c r="B49" i="16"/>
  <c r="C49" i="16" s="1"/>
  <c r="E50" i="16" l="1"/>
  <c r="B48" i="16"/>
  <c r="C48" i="16" s="1"/>
  <c r="E49" i="16" l="1"/>
  <c r="B47" i="16"/>
  <c r="C47" i="16" s="1"/>
  <c r="E48" i="16" l="1"/>
  <c r="B46" i="16"/>
  <c r="C46" i="16" s="1"/>
  <c r="E47" i="16" l="1"/>
  <c r="B45" i="16"/>
  <c r="C45" i="16" s="1"/>
  <c r="E46" i="16" s="1"/>
  <c r="B44" i="16" l="1"/>
  <c r="C44" i="16" s="1"/>
  <c r="E45" i="16" s="1"/>
  <c r="B43" i="16" l="1"/>
  <c r="C43" i="16" s="1"/>
  <c r="E44" i="16" s="1"/>
  <c r="B42" i="16" l="1"/>
  <c r="C42" i="16" s="1"/>
  <c r="E43" i="16" s="1"/>
  <c r="B41" i="16" l="1"/>
  <c r="C41" i="16" s="1"/>
  <c r="E42" i="16" s="1"/>
  <c r="B40" i="16" l="1"/>
  <c r="C40" i="16" l="1"/>
  <c r="E41" i="16" s="1"/>
  <c r="D19" i="16"/>
  <c r="F19" i="1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Daniela Shmayev</author>
  </authors>
  <commentList>
    <comment ref="R2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Daniela Shmayev:</t>
        </r>
        <r>
          <rPr>
            <sz val="9"/>
            <color indexed="81"/>
            <rFont val="Tahoma"/>
            <family val="2"/>
          </rPr>
          <t xml:space="preserve">
Desde maio de 2014</t>
        </r>
      </text>
    </comment>
  </commentList>
</comments>
</file>

<file path=xl/sharedStrings.xml><?xml version="1.0" encoding="utf-8"?>
<sst xmlns="http://schemas.openxmlformats.org/spreadsheetml/2006/main" count="99" uniqueCount="62">
  <si>
    <t>Jogo</t>
  </si>
  <si>
    <t>Ticket</t>
  </si>
  <si>
    <t>Total</t>
  </si>
  <si>
    <t>Categoria</t>
  </si>
  <si>
    <t>Descrição</t>
  </si>
  <si>
    <t>Resposta</t>
  </si>
  <si>
    <t>SR</t>
  </si>
  <si>
    <t>-</t>
  </si>
  <si>
    <t>OK</t>
  </si>
  <si>
    <t>PD</t>
  </si>
  <si>
    <t>Bloqueio de Conta</t>
  </si>
  <si>
    <t>Denúncia</t>
  </si>
  <si>
    <t>Data Criação</t>
  </si>
  <si>
    <t>1w</t>
  </si>
  <si>
    <t>2w</t>
  </si>
  <si>
    <t>3w+</t>
  </si>
  <si>
    <t>Mês</t>
  </si>
  <si>
    <t>Info Adicional</t>
  </si>
  <si>
    <t>RS</t>
  </si>
  <si>
    <t>Recebidos</t>
  </si>
  <si>
    <t>Tradução/Descrição</t>
  </si>
  <si>
    <t>Dúvida/Sugestão/Elogio/Reclamação</t>
  </si>
  <si>
    <t>Bug/Missão/Restituição</t>
  </si>
  <si>
    <t>Eventos/Comunicação</t>
  </si>
  <si>
    <t>Tempo Máx</t>
  </si>
  <si>
    <t>Tickets Recebidos em Produtos</t>
  </si>
  <si>
    <t>pendente</t>
  </si>
  <si>
    <t>PD TKT</t>
  </si>
  <si>
    <t>PD PR</t>
  </si>
  <si>
    <t>Tempo Resposta</t>
  </si>
  <si>
    <t>Data Recebida</t>
  </si>
  <si>
    <t xml:space="preserve"> Data Resp.</t>
  </si>
  <si>
    <t>Status</t>
  </si>
  <si>
    <t>Controle de Tickets</t>
  </si>
  <si>
    <t>Quantidade pendente (do recebimento em PR)</t>
  </si>
  <si>
    <t>Quantidade pendente (da abertura do Ticket)</t>
  </si>
  <si>
    <t>Tickets Recebidos</t>
  </si>
  <si>
    <t>Quantidade recebida em Produtos</t>
  </si>
  <si>
    <t>Tempo recebido em PR</t>
  </si>
  <si>
    <t>Tempo desde a abertura</t>
  </si>
  <si>
    <t>Ranking por tempo de pendência</t>
  </si>
  <si>
    <t>% Mês Anterior</t>
  </si>
  <si>
    <t>Total RS</t>
  </si>
  <si>
    <t>Total PD</t>
  </si>
  <si>
    <t>Quantidades por status e por Jogo</t>
  </si>
  <si>
    <t>Recebidos por jogo: últimos 3 meses + atual</t>
  </si>
  <si>
    <t>Jogos</t>
  </si>
  <si>
    <t>Categorias</t>
  </si>
  <si>
    <t>Legenda &gt;&gt; SR - Sem Resposta |PD - Pendentes | RS - Respondido (causa raiz/procedimento interno pendente) | OK - Fechado (resolvido em definitivo)</t>
  </si>
  <si>
    <t>Todos</t>
  </si>
  <si>
    <t>EX1</t>
  </si>
  <si>
    <t>EX2</t>
  </si>
  <si>
    <t>EX3</t>
  </si>
  <si>
    <t>EX4</t>
  </si>
  <si>
    <t>EX5</t>
  </si>
  <si>
    <t>EX6</t>
  </si>
  <si>
    <t>EX7</t>
  </si>
  <si>
    <t>EX8</t>
  </si>
  <si>
    <t>123</t>
  </si>
  <si>
    <t>Example</t>
  </si>
  <si>
    <t>122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</si>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</sst>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16]mmm\-yy;@"/>
    <numFmt numFmtId="165" formatCode="[$-416]d\-mmm;@"/>
    <numFmt numFmtId="166" formatCode="0.0%"/>
    <numFmt numFmtId="167" formatCode="d/m/yyyy"/>
    <numFmt numFmtId="168" formatCode="dd/mm/yyyy"/>
  </numFmts>
  <fonts count="3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u/>
      <sz val="11"/>
      <color indexed="12"/>
      <name val="Calibri"/>
      <family val="2"/>
    </font>
    <font>
      <b/>
      <sz val="11"/>
      <name val="Calibri"/>
      <family val="2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sz val="10"/>
      <name val="Calibri"/>
      <family val="2"/>
      <scheme val="minor"/>
    </font>
    <font>
      <sz val="10"/>
      <name val="Arial"/>
      <family val="2"/>
    </font>
    <font>
      <sz val="10"/>
      <color theme="0"/>
      <name val="Arial"/>
      <family val="2"/>
    </font>
    <font>
      <sz val="8"/>
      <name val="Calibri"/>
      <family val="2"/>
      <scheme val="minor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0"/>
      <color theme="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0"/>
      <name val="Arial"/>
    </font>
    <font>
      <sz val="8"/>
      <name val="Arial"/>
    </font>
    <font>
      <sz val="9"/>
      <name val="Calibri"/>
      <scheme val="minor"/>
    </font>
    <font>
      <sz val="8"/>
      <name val="Calibri"/>
      <scheme val="minor"/>
    </font>
    <font>
      <sz val="10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0"/>
        </stop>
        <stop position="1">
          <color theme="0" tint="-0.25098422193060094"/>
        </stop>
      </gradientFill>
    </fill>
    <fill>
      <gradientFill degree="9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/>
        <bgColor auto="1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81">
    <xf numFmtId="0" fontId="0" fillId="0" borderId="0"/>
    <xf numFmtId="0" fontId="8" fillId="0" borderId="0"/>
    <xf numFmtId="0" fontId="8" fillId="0" borderId="0"/>
    <xf numFmtId="9" fontId="10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7" fillId="0" borderId="0"/>
    <xf numFmtId="0" fontId="13" fillId="0" borderId="0" applyNumberFormat="0" applyFill="0" applyBorder="0" applyAlignment="0" applyProtection="0"/>
    <xf numFmtId="9" fontId="8" fillId="0" borderId="0" applyFont="0" applyFill="0" applyBorder="0" applyAlignment="0" applyProtection="0"/>
    <xf numFmtId="0" fontId="6" fillId="0" borderId="0"/>
    <xf numFmtId="0" fontId="5" fillId="0" borderId="0"/>
    <xf numFmtId="0" fontId="8" fillId="0" borderId="0"/>
    <xf numFmtId="0" fontId="4" fillId="0" borderId="0"/>
    <xf numFmtId="0" fontId="8" fillId="0" borderId="0"/>
    <xf numFmtId="9" fontId="8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18" fillId="0" borderId="0"/>
    <xf numFmtId="0" fontId="8" fillId="0" borderId="0"/>
    <xf numFmtId="0" fontId="3" fillId="0" borderId="0"/>
    <xf numFmtId="0" fontId="22" fillId="0" borderId="0"/>
    <xf numFmtId="9" fontId="8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7" fillId="0" borderId="0"/>
    <xf numFmtId="0" fontId="1" fillId="0" borderId="0"/>
    <xf numFmtId="0" fontId="29" fillId="0" borderId="0"/>
    <xf numFmtId="9" fontId="8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</cellStyleXfs>
  <cellXfs count="162">
    <xf numFmtId="0" fontId="0" fillId="0" borderId="0" xfId="0"/>
    <xf numFmtId="0" fontId="0" fillId="2" borderId="0" xfId="0" applyFill="1"/>
    <xf numFmtId="0" fontId="0" fillId="2" borderId="0" xfId="0" applyFill="1" applyProtection="1">
      <protection hidden="1"/>
    </xf>
    <xf numFmtId="0" fontId="8" fillId="4" borderId="3" xfId="0" applyFont="1" applyFill="1" applyBorder="1" applyAlignment="1" applyProtection="1">
      <alignment horizontal="center" vertical="center"/>
      <protection hidden="1"/>
    </xf>
    <xf numFmtId="0" fontId="8" fillId="4" borderId="5" xfId="0" applyFont="1" applyFill="1" applyBorder="1" applyAlignment="1" applyProtection="1">
      <alignment horizontal="center" vertical="center"/>
      <protection hidden="1"/>
    </xf>
    <xf numFmtId="0" fontId="8" fillId="3" borderId="4" xfId="0" applyFont="1" applyFill="1" applyBorder="1" applyAlignment="1" applyProtection="1">
      <alignment horizontal="center"/>
      <protection hidden="1"/>
    </xf>
    <xf numFmtId="0" fontId="8" fillId="5" borderId="3" xfId="0" applyFont="1" applyFill="1" applyBorder="1" applyAlignment="1" applyProtection="1">
      <alignment horizontal="center" vertical="center"/>
      <protection hidden="1"/>
    </xf>
    <xf numFmtId="0" fontId="0" fillId="6" borderId="0" xfId="0" applyFill="1" applyProtection="1">
      <protection hidden="1"/>
    </xf>
    <xf numFmtId="49" fontId="16" fillId="2" borderId="0" xfId="0" applyNumberFormat="1" applyFont="1" applyFill="1" applyProtection="1">
      <protection locked="0"/>
    </xf>
    <xf numFmtId="49" fontId="16" fillId="2" borderId="0" xfId="0" applyNumberFormat="1" applyFont="1" applyFill="1" applyAlignment="1" applyProtection="1">
      <alignment horizontal="center" vertical="center"/>
      <protection locked="0"/>
    </xf>
    <xf numFmtId="49" fontId="16" fillId="0" borderId="0" xfId="0" applyNumberFormat="1" applyFont="1" applyAlignment="1" applyProtection="1">
      <alignment horizontal="center" vertical="center"/>
      <protection locked="0"/>
    </xf>
    <xf numFmtId="49" fontId="16" fillId="0" borderId="0" xfId="0" applyNumberFormat="1" applyFont="1" applyProtection="1">
      <protection locked="0"/>
    </xf>
    <xf numFmtId="0" fontId="8" fillId="2" borderId="0" xfId="0" applyFont="1" applyFill="1"/>
    <xf numFmtId="0" fontId="8" fillId="3" borderId="6" xfId="0" applyFont="1" applyFill="1" applyBorder="1" applyAlignment="1" applyProtection="1">
      <alignment horizontal="center"/>
      <protection hidden="1"/>
    </xf>
    <xf numFmtId="0" fontId="8" fillId="2" borderId="0" xfId="0" applyFont="1" applyFill="1" applyProtection="1">
      <protection hidden="1"/>
    </xf>
    <xf numFmtId="0" fontId="19" fillId="2" borderId="0" xfId="0" applyFont="1" applyFill="1" applyProtection="1">
      <protection hidden="1"/>
    </xf>
    <xf numFmtId="3" fontId="19" fillId="2" borderId="0" xfId="0" applyNumberFormat="1" applyFont="1" applyFill="1" applyProtection="1">
      <protection hidden="1"/>
    </xf>
    <xf numFmtId="0" fontId="8" fillId="3" borderId="4" xfId="0" applyNumberFormat="1" applyFont="1" applyFill="1" applyBorder="1" applyAlignment="1" applyProtection="1">
      <alignment horizontal="center"/>
      <protection hidden="1"/>
    </xf>
    <xf numFmtId="3" fontId="8" fillId="3" borderId="4" xfId="0" applyNumberFormat="1" applyFont="1" applyFill="1" applyBorder="1" applyAlignment="1" applyProtection="1">
      <alignment horizontal="center" vertical="center"/>
      <protection hidden="1"/>
    </xf>
    <xf numFmtId="0" fontId="8" fillId="5" borderId="1" xfId="0" applyFont="1" applyFill="1" applyBorder="1" applyAlignment="1" applyProtection="1">
      <alignment horizontal="center" vertical="center"/>
      <protection hidden="1"/>
    </xf>
    <xf numFmtId="0" fontId="0" fillId="2" borderId="0" xfId="0" applyFill="1" applyBorder="1" applyProtection="1">
      <protection hidden="1"/>
    </xf>
    <xf numFmtId="0" fontId="0" fillId="2" borderId="0" xfId="0" applyFill="1" applyBorder="1"/>
    <xf numFmtId="165" fontId="19" fillId="2" borderId="0" xfId="0" applyNumberFormat="1" applyFont="1" applyFill="1" applyProtection="1">
      <protection hidden="1"/>
    </xf>
    <xf numFmtId="0" fontId="11" fillId="3" borderId="4" xfId="0" applyFont="1" applyFill="1" applyBorder="1" applyAlignment="1" applyProtection="1">
      <alignment horizontal="center"/>
      <protection hidden="1"/>
    </xf>
    <xf numFmtId="0" fontId="11" fillId="3" borderId="1" xfId="0" applyFont="1" applyFill="1" applyBorder="1" applyAlignment="1" applyProtection="1">
      <alignment horizontal="center" vertical="center"/>
      <protection hidden="1"/>
    </xf>
    <xf numFmtId="0" fontId="8" fillId="3" borderId="1" xfId="0" applyFont="1" applyFill="1" applyBorder="1" applyAlignment="1" applyProtection="1">
      <alignment horizontal="center" vertical="center"/>
      <protection hidden="1"/>
    </xf>
    <xf numFmtId="0" fontId="11" fillId="3" borderId="6" xfId="0" applyFont="1" applyFill="1" applyBorder="1" applyAlignment="1" applyProtection="1">
      <alignment horizontal="center" vertical="center"/>
      <protection hidden="1"/>
    </xf>
    <xf numFmtId="0" fontId="8" fillId="3" borderId="1" xfId="0" applyNumberFormat="1" applyFont="1" applyFill="1" applyBorder="1" applyAlignment="1" applyProtection="1">
      <alignment horizontal="center" vertical="center"/>
      <protection hidden="1"/>
    </xf>
    <xf numFmtId="3" fontId="8" fillId="3" borderId="1" xfId="0" applyNumberFormat="1" applyFont="1" applyFill="1" applyBorder="1" applyAlignment="1" applyProtection="1">
      <alignment horizontal="center" vertical="center"/>
      <protection hidden="1"/>
    </xf>
    <xf numFmtId="0" fontId="8" fillId="3" borderId="7" xfId="3" applyNumberFormat="1" applyFont="1" applyFill="1" applyBorder="1" applyAlignment="1" applyProtection="1">
      <alignment horizontal="center" vertical="center"/>
      <protection hidden="1"/>
    </xf>
    <xf numFmtId="0" fontId="8" fillId="2" borderId="0" xfId="0" applyFont="1" applyFill="1" applyBorder="1" applyProtection="1">
      <protection hidden="1"/>
    </xf>
    <xf numFmtId="3" fontId="8" fillId="6" borderId="4" xfId="0" applyNumberFormat="1" applyFont="1" applyFill="1" applyBorder="1" applyAlignment="1" applyProtection="1">
      <alignment horizontal="center" vertical="center"/>
      <protection hidden="1"/>
    </xf>
    <xf numFmtId="0" fontId="11" fillId="6" borderId="4" xfId="0" applyFont="1" applyFill="1" applyBorder="1" applyAlignment="1" applyProtection="1">
      <alignment horizontal="center"/>
      <protection hidden="1"/>
    </xf>
    <xf numFmtId="0" fontId="8" fillId="6" borderId="4" xfId="0" applyFont="1" applyFill="1" applyBorder="1" applyAlignment="1" applyProtection="1">
      <alignment horizontal="center"/>
      <protection hidden="1"/>
    </xf>
    <xf numFmtId="0" fontId="8" fillId="6" borderId="6" xfId="0" applyFont="1" applyFill="1" applyBorder="1" applyAlignment="1" applyProtection="1">
      <alignment horizontal="center"/>
      <protection hidden="1"/>
    </xf>
    <xf numFmtId="0" fontId="8" fillId="6" borderId="2" xfId="0" applyFont="1" applyFill="1" applyBorder="1" applyAlignment="1" applyProtection="1">
      <alignment horizontal="center"/>
      <protection hidden="1"/>
    </xf>
    <xf numFmtId="0" fontId="11" fillId="6" borderId="8" xfId="0" applyFont="1" applyFill="1" applyBorder="1" applyAlignment="1" applyProtection="1">
      <alignment horizontal="center" vertical="center"/>
      <protection hidden="1"/>
    </xf>
    <xf numFmtId="0" fontId="11" fillId="6" borderId="6" xfId="0" applyFont="1" applyFill="1" applyBorder="1" applyAlignment="1" applyProtection="1">
      <alignment horizontal="center" vertical="center"/>
      <protection hidden="1"/>
    </xf>
    <xf numFmtId="0" fontId="11" fillId="6" borderId="5" xfId="0" applyFont="1" applyFill="1" applyBorder="1" applyAlignment="1" applyProtection="1">
      <alignment horizontal="center"/>
      <protection hidden="1"/>
    </xf>
    <xf numFmtId="3" fontId="8" fillId="6" borderId="2" xfId="0" applyNumberFormat="1" applyFont="1" applyFill="1" applyBorder="1" applyAlignment="1" applyProtection="1">
      <alignment horizontal="center" vertical="center"/>
      <protection hidden="1"/>
    </xf>
    <xf numFmtId="0" fontId="8" fillId="6" borderId="8" xfId="0" applyFont="1" applyFill="1" applyBorder="1" applyAlignment="1" applyProtection="1">
      <alignment horizontal="center"/>
      <protection hidden="1"/>
    </xf>
    <xf numFmtId="0" fontId="8" fillId="6" borderId="4" xfId="0" applyNumberFormat="1" applyFont="1" applyFill="1" applyBorder="1" applyAlignment="1" applyProtection="1">
      <alignment horizontal="center"/>
      <protection hidden="1"/>
    </xf>
    <xf numFmtId="0" fontId="8" fillId="6" borderId="2" xfId="0" applyNumberFormat="1" applyFont="1" applyFill="1" applyBorder="1" applyAlignment="1" applyProtection="1">
      <alignment horizontal="center"/>
      <protection hidden="1"/>
    </xf>
    <xf numFmtId="0" fontId="8" fillId="6" borderId="7" xfId="3" applyNumberFormat="1" applyFont="1" applyFill="1" applyBorder="1" applyAlignment="1" applyProtection="1">
      <alignment horizontal="center" vertical="center"/>
      <protection hidden="1"/>
    </xf>
    <xf numFmtId="0" fontId="8" fillId="5" borderId="3" xfId="20" applyFont="1" applyFill="1" applyBorder="1" applyAlignment="1" applyProtection="1">
      <alignment horizontal="center" vertical="center"/>
      <protection hidden="1"/>
    </xf>
    <xf numFmtId="0" fontId="11" fillId="3" borderId="4" xfId="20" applyFont="1" applyFill="1" applyBorder="1" applyAlignment="1" applyProtection="1">
      <alignment horizontal="center"/>
      <protection hidden="1"/>
    </xf>
    <xf numFmtId="0" fontId="11" fillId="6" borderId="4" xfId="20" applyFont="1" applyFill="1" applyBorder="1" applyAlignment="1" applyProtection="1">
      <alignment horizontal="center"/>
      <protection hidden="1"/>
    </xf>
    <xf numFmtId="0" fontId="11" fillId="6" borderId="6" xfId="0" applyFont="1" applyFill="1" applyBorder="1" applyAlignment="1" applyProtection="1">
      <alignment horizontal="center"/>
      <protection hidden="1"/>
    </xf>
    <xf numFmtId="164" fontId="8" fillId="4" borderId="3" xfId="20" applyNumberFormat="1" applyFont="1" applyFill="1" applyBorder="1" applyAlignment="1" applyProtection="1">
      <alignment horizontal="center" vertical="center"/>
      <protection hidden="1"/>
    </xf>
    <xf numFmtId="9" fontId="0" fillId="2" borderId="0" xfId="3" applyFont="1" applyFill="1"/>
    <xf numFmtId="164" fontId="14" fillId="3" borderId="6" xfId="0" applyNumberFormat="1" applyFont="1" applyFill="1" applyBorder="1" applyAlignment="1" applyProtection="1">
      <alignment horizontal="center" vertical="center"/>
      <protection hidden="1"/>
    </xf>
    <xf numFmtId="164" fontId="14" fillId="6" borderId="6" xfId="0" applyNumberFormat="1" applyFont="1" applyFill="1" applyBorder="1" applyAlignment="1" applyProtection="1">
      <alignment horizontal="center" vertical="center"/>
      <protection hidden="1"/>
    </xf>
    <xf numFmtId="164" fontId="14" fillId="6" borderId="8" xfId="0" applyNumberFormat="1" applyFont="1" applyFill="1" applyBorder="1" applyAlignment="1" applyProtection="1">
      <alignment horizontal="center" vertical="center"/>
      <protection hidden="1"/>
    </xf>
    <xf numFmtId="0" fontId="11" fillId="3" borderId="12" xfId="0" applyFont="1" applyFill="1" applyBorder="1" applyAlignment="1" applyProtection="1">
      <alignment horizontal="center" vertical="center"/>
      <protection hidden="1"/>
    </xf>
    <xf numFmtId="164" fontId="14" fillId="6" borderId="5" xfId="0" applyNumberFormat="1" applyFont="1" applyFill="1" applyBorder="1" applyAlignment="1" applyProtection="1">
      <alignment horizontal="center" vertical="center"/>
      <protection hidden="1"/>
    </xf>
    <xf numFmtId="0" fontId="8" fillId="2" borderId="0" xfId="0" applyFont="1" applyFill="1" applyAlignment="1">
      <alignment horizontal="center"/>
    </xf>
    <xf numFmtId="14" fontId="14" fillId="3" borderId="12" xfId="0" applyNumberFormat="1" applyFont="1" applyFill="1" applyBorder="1" applyAlignment="1" applyProtection="1">
      <alignment horizontal="center" vertical="center"/>
      <protection hidden="1"/>
    </xf>
    <xf numFmtId="0" fontId="8" fillId="3" borderId="14" xfId="3" applyNumberFormat="1" applyFont="1" applyFill="1" applyBorder="1" applyAlignment="1" applyProtection="1">
      <alignment horizontal="center"/>
      <protection hidden="1"/>
    </xf>
    <xf numFmtId="166" fontId="0" fillId="2" borderId="0" xfId="3" applyNumberFormat="1" applyFont="1" applyFill="1"/>
    <xf numFmtId="0" fontId="8" fillId="2" borderId="0" xfId="0" applyNumberFormat="1" applyFont="1" applyFill="1" applyAlignment="1">
      <alignment horizontal="center"/>
    </xf>
    <xf numFmtId="0" fontId="8" fillId="5" borderId="11" xfId="0" applyFont="1" applyFill="1" applyBorder="1" applyAlignment="1" applyProtection="1">
      <alignment horizontal="center" vertical="center" wrapText="1"/>
      <protection hidden="1"/>
    </xf>
    <xf numFmtId="0" fontId="24" fillId="7" borderId="0" xfId="0" applyFont="1" applyFill="1"/>
    <xf numFmtId="0" fontId="24" fillId="7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8" fillId="5" borderId="12" xfId="0" applyFont="1" applyFill="1" applyBorder="1" applyAlignment="1" applyProtection="1">
      <alignment horizontal="center" vertical="center"/>
      <protection hidden="1"/>
    </xf>
    <xf numFmtId="0" fontId="8" fillId="3" borderId="12" xfId="0" applyFont="1" applyFill="1" applyBorder="1" applyAlignment="1" applyProtection="1">
      <alignment horizontal="center" vertical="center"/>
      <protection hidden="1"/>
    </xf>
    <xf numFmtId="0" fontId="8" fillId="5" borderId="5" xfId="0" applyFont="1" applyFill="1" applyBorder="1" applyAlignment="1" applyProtection="1">
      <alignment horizontal="center" vertical="center"/>
      <protection hidden="1"/>
    </xf>
    <xf numFmtId="49" fontId="16" fillId="2" borderId="0" xfId="0" applyNumberFormat="1" applyFont="1" applyFill="1" applyProtection="1">
      <protection hidden="1"/>
    </xf>
    <xf numFmtId="0" fontId="15" fillId="2" borderId="0" xfId="0" applyFont="1" applyFill="1" applyAlignment="1" applyProtection="1">
      <alignment horizontal="center" vertical="center"/>
      <protection locked="0"/>
    </xf>
    <xf numFmtId="14" fontId="16" fillId="2" borderId="0" xfId="0" applyNumberFormat="1" applyFont="1" applyFill="1" applyAlignment="1" applyProtection="1">
      <alignment wrapText="1"/>
      <protection locked="0"/>
    </xf>
    <xf numFmtId="49" fontId="16" fillId="2" borderId="0" xfId="0" applyNumberFormat="1" applyFont="1" applyFill="1" applyBorder="1" applyProtection="1">
      <protection locked="0"/>
    </xf>
    <xf numFmtId="14" fontId="16" fillId="2" borderId="0" xfId="0" applyNumberFormat="1" applyFont="1" applyFill="1" applyProtection="1">
      <protection locked="0"/>
    </xf>
    <xf numFmtId="14" fontId="16" fillId="2" borderId="0" xfId="0" applyNumberFormat="1" applyFont="1" applyFill="1" applyAlignment="1" applyProtection="1">
      <alignment horizontal="center"/>
      <protection locked="0"/>
    </xf>
    <xf numFmtId="49" fontId="12" fillId="6" borderId="15" xfId="4" applyNumberFormat="1" applyFill="1" applyBorder="1" applyAlignment="1" applyProtection="1">
      <alignment horizontal="center" vertical="center"/>
      <protection locked="0"/>
    </xf>
    <xf numFmtId="49" fontId="16" fillId="6" borderId="15" xfId="1" applyNumberFormat="1" applyFont="1" applyFill="1" applyBorder="1" applyAlignment="1" applyProtection="1">
      <alignment horizontal="center" vertical="center" wrapText="1"/>
      <protection locked="0"/>
    </xf>
    <xf numFmtId="14" fontId="16" fillId="6" borderId="15" xfId="0" applyNumberFormat="1" applyFont="1" applyFill="1" applyBorder="1" applyAlignment="1" applyProtection="1">
      <alignment horizontal="center" vertical="center" wrapText="1"/>
      <protection locked="0"/>
    </xf>
    <xf numFmtId="0" fontId="16" fillId="6" borderId="15" xfId="0" quotePrefix="1" applyNumberFormat="1" applyFont="1" applyFill="1" applyBorder="1" applyAlignment="1" applyProtection="1">
      <alignment horizontal="center" vertical="center"/>
      <protection hidden="1"/>
    </xf>
    <xf numFmtId="0" fontId="17" fillId="6" borderId="15" xfId="4" applyNumberFormat="1" applyFont="1" applyFill="1" applyBorder="1" applyAlignment="1" applyProtection="1">
      <alignment horizontal="left" vertical="center" wrapText="1"/>
      <protection locked="0"/>
    </xf>
    <xf numFmtId="0" fontId="20" fillId="6" borderId="15" xfId="0" quotePrefix="1" applyNumberFormat="1" applyFont="1" applyFill="1" applyBorder="1" applyAlignment="1" applyProtection="1">
      <alignment horizontal="center" vertical="center"/>
      <protection hidden="1"/>
    </xf>
    <xf numFmtId="49" fontId="16" fillId="2" borderId="15" xfId="0" applyNumberFormat="1" applyFont="1" applyFill="1" applyBorder="1" applyAlignment="1" applyProtection="1">
      <alignment horizontal="center" vertical="center"/>
      <protection locked="0"/>
    </xf>
    <xf numFmtId="49" fontId="16" fillId="2" borderId="15" xfId="0" applyNumberFormat="1" applyFont="1" applyFill="1" applyBorder="1" applyAlignment="1" applyProtection="1">
      <alignment horizontal="center" vertical="center"/>
      <protection hidden="1"/>
    </xf>
    <xf numFmtId="49" fontId="16" fillId="0" borderId="15" xfId="0" applyNumberFormat="1" applyFont="1" applyBorder="1" applyAlignment="1" applyProtection="1">
      <alignment horizontal="center" vertical="center"/>
      <protection locked="0"/>
    </xf>
    <xf numFmtId="0" fontId="21" fillId="8" borderId="15" xfId="0" applyNumberFormat="1" applyFont="1" applyFill="1" applyBorder="1" applyAlignment="1" applyProtection="1">
      <alignment horizontal="center" vertical="center" wrapText="1" shrinkToFit="1"/>
      <protection hidden="1"/>
    </xf>
    <xf numFmtId="0" fontId="21" fillId="8" borderId="15" xfId="0" applyNumberFormat="1" applyFont="1" applyFill="1" applyBorder="1" applyAlignment="1" applyProtection="1">
      <alignment horizontal="center" vertical="center" wrapText="1"/>
      <protection hidden="1"/>
    </xf>
    <xf numFmtId="49" fontId="15" fillId="2" borderId="15" xfId="0" applyNumberFormat="1" applyFont="1" applyFill="1" applyBorder="1" applyAlignment="1" applyProtection="1">
      <alignment horizontal="center" vertical="center"/>
      <protection locked="0"/>
    </xf>
    <xf numFmtId="49" fontId="15" fillId="0" borderId="15" xfId="0" applyNumberFormat="1" applyFont="1" applyBorder="1" applyAlignment="1" applyProtection="1">
      <alignment horizontal="center" vertical="center"/>
      <protection locked="0"/>
    </xf>
    <xf numFmtId="14" fontId="17" fillId="2" borderId="16" xfId="0" applyNumberFormat="1" applyFont="1" applyFill="1" applyBorder="1" applyAlignment="1" applyProtection="1">
      <alignment horizontal="left" vertical="center"/>
      <protection locked="0"/>
    </xf>
    <xf numFmtId="14" fontId="16" fillId="2" borderId="16" xfId="0" applyNumberFormat="1" applyFont="1" applyFill="1" applyBorder="1" applyAlignment="1" applyProtection="1">
      <alignment vertical="center"/>
      <protection locked="0"/>
    </xf>
    <xf numFmtId="14" fontId="16" fillId="2" borderId="16" xfId="0" applyNumberFormat="1" applyFont="1" applyFill="1" applyBorder="1" applyAlignment="1" applyProtection="1">
      <alignment vertical="center" wrapText="1"/>
      <protection locked="0"/>
    </xf>
    <xf numFmtId="14" fontId="16" fillId="2" borderId="16" xfId="0" applyNumberFormat="1" applyFont="1" applyFill="1" applyBorder="1" applyAlignment="1" applyProtection="1">
      <alignment horizontal="center" vertical="center"/>
      <protection locked="0"/>
    </xf>
    <xf numFmtId="0" fontId="16" fillId="2" borderId="16" xfId="0" applyNumberFormat="1" applyFont="1" applyFill="1" applyBorder="1" applyAlignment="1" applyProtection="1">
      <alignment horizontal="center" vertical="center"/>
      <protection hidden="1"/>
    </xf>
    <xf numFmtId="49" fontId="16" fillId="2" borderId="17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/>
    </xf>
    <xf numFmtId="49" fontId="16" fillId="2" borderId="16" xfId="0" applyNumberFormat="1" applyFont="1" applyFill="1" applyBorder="1" applyAlignment="1" applyProtection="1">
      <alignment horizontal="left" vertical="center"/>
      <protection locked="0"/>
    </xf>
    <xf numFmtId="14" fontId="16" fillId="6" borderId="15" xfId="0" applyNumberFormat="1" applyFont="1" applyFill="1" applyBorder="1" applyAlignment="1" applyProtection="1">
      <alignment horizontal="center" vertical="center"/>
      <protection locked="0"/>
    </xf>
    <xf numFmtId="49" fontId="21" fillId="8" borderId="15" xfId="0" applyNumberFormat="1" applyFont="1" applyFill="1" applyBorder="1" applyAlignment="1" applyProtection="1">
      <alignment horizontal="center" vertical="center"/>
      <protection locked="0"/>
    </xf>
    <xf numFmtId="14" fontId="21" fillId="8" borderId="15" xfId="0" applyNumberFormat="1" applyFont="1" applyFill="1" applyBorder="1" applyAlignment="1" applyProtection="1">
      <alignment horizontal="center" vertical="center"/>
      <protection locked="0"/>
    </xf>
    <xf numFmtId="49" fontId="21" fillId="8" borderId="15" xfId="0" applyNumberFormat="1" applyFont="1" applyFill="1" applyBorder="1" applyAlignment="1" applyProtection="1">
      <alignment horizontal="center" vertical="center" wrapText="1"/>
      <protection locked="0"/>
    </xf>
    <xf numFmtId="49" fontId="19" fillId="8" borderId="15" xfId="0" applyNumberFormat="1" applyFont="1" applyFill="1" applyBorder="1" applyAlignment="1" applyProtection="1">
      <alignment horizontal="center" vertical="center"/>
      <protection locked="0"/>
    </xf>
    <xf numFmtId="0" fontId="28" fillId="0" borderId="0" xfId="0" applyFont="1" applyAlignment="1">
      <alignment horizontal="center"/>
    </xf>
    <xf numFmtId="0" fontId="0" fillId="3" borderId="12" xfId="0" applyFill="1" applyBorder="1" applyAlignment="1" applyProtection="1">
      <alignment horizontal="center"/>
      <protection hidden="1"/>
    </xf>
    <xf numFmtId="0" fontId="0" fillId="3" borderId="14" xfId="0" applyFill="1" applyBorder="1" applyAlignment="1" applyProtection="1">
      <alignment horizontal="center"/>
      <protection hidden="1"/>
    </xf>
    <xf numFmtId="0" fontId="0" fillId="6" borderId="5" xfId="0" applyFill="1" applyBorder="1" applyAlignment="1" applyProtection="1">
      <alignment horizontal="center"/>
      <protection hidden="1"/>
    </xf>
    <xf numFmtId="0" fontId="0" fillId="6" borderId="10" xfId="0" applyFill="1" applyBorder="1" applyAlignment="1" applyProtection="1">
      <alignment horizontal="center"/>
      <protection hidden="1"/>
    </xf>
    <xf numFmtId="0" fontId="0" fillId="3" borderId="6" xfId="0" applyFill="1" applyBorder="1" applyAlignment="1" applyProtection="1">
      <alignment horizontal="center"/>
      <protection hidden="1"/>
    </xf>
    <xf numFmtId="0" fontId="0" fillId="3" borderId="7" xfId="0" applyFill="1" applyBorder="1" applyAlignment="1" applyProtection="1">
      <alignment horizontal="center"/>
      <protection hidden="1"/>
    </xf>
    <xf numFmtId="0" fontId="0" fillId="6" borderId="6" xfId="0" applyFill="1" applyBorder="1" applyAlignment="1" applyProtection="1">
      <alignment horizontal="center"/>
      <protection hidden="1"/>
    </xf>
    <xf numFmtId="0" fontId="0" fillId="6" borderId="7" xfId="0" applyFill="1" applyBorder="1" applyAlignment="1" applyProtection="1">
      <alignment horizontal="center"/>
      <protection hidden="1"/>
    </xf>
    <xf numFmtId="0" fontId="8" fillId="6" borderId="6" xfId="0" applyFont="1" applyFill="1" applyBorder="1" applyAlignment="1" applyProtection="1">
      <alignment horizontal="center" vertical="center"/>
      <protection hidden="1"/>
    </xf>
    <xf numFmtId="0" fontId="8" fillId="6" borderId="7" xfId="0" applyFont="1" applyFill="1" applyBorder="1" applyAlignment="1" applyProtection="1">
      <alignment horizontal="center" vertical="center"/>
      <protection hidden="1"/>
    </xf>
    <xf numFmtId="0" fontId="8" fillId="3" borderId="6" xfId="0" applyFont="1" applyFill="1" applyBorder="1" applyAlignment="1" applyProtection="1">
      <alignment horizontal="center" vertical="center"/>
      <protection hidden="1"/>
    </xf>
    <xf numFmtId="0" fontId="8" fillId="3" borderId="7" xfId="0" applyFont="1" applyFill="1" applyBorder="1" applyAlignment="1" applyProtection="1">
      <alignment horizontal="center" vertical="center"/>
      <protection hidden="1"/>
    </xf>
    <xf numFmtId="0" fontId="11" fillId="4" borderId="13" xfId="0" applyFont="1" applyFill="1" applyBorder="1" applyAlignment="1" applyProtection="1">
      <alignment horizontal="center" vertical="center"/>
      <protection hidden="1"/>
    </xf>
    <xf numFmtId="0" fontId="11" fillId="4" borderId="14" xfId="0" applyFont="1" applyFill="1" applyBorder="1" applyAlignment="1" applyProtection="1">
      <alignment horizontal="center" vertical="center"/>
      <protection hidden="1"/>
    </xf>
    <xf numFmtId="0" fontId="8" fillId="3" borderId="12" xfId="0" applyFont="1" applyFill="1" applyBorder="1" applyAlignment="1" applyProtection="1">
      <alignment horizontal="center" vertical="center"/>
      <protection hidden="1"/>
    </xf>
    <xf numFmtId="0" fontId="8" fillId="3" borderId="13" xfId="0" applyFont="1" applyFill="1" applyBorder="1" applyAlignment="1" applyProtection="1">
      <alignment horizontal="center" vertical="center"/>
      <protection hidden="1"/>
    </xf>
    <xf numFmtId="0" fontId="8" fillId="6" borderId="5" xfId="0" applyFont="1" applyFill="1" applyBorder="1" applyAlignment="1" applyProtection="1">
      <alignment horizontal="center"/>
      <protection hidden="1"/>
    </xf>
    <xf numFmtId="0" fontId="8" fillId="6" borderId="10" xfId="0" applyFont="1" applyFill="1" applyBorder="1" applyAlignment="1" applyProtection="1">
      <alignment horizontal="center"/>
      <protection hidden="1"/>
    </xf>
    <xf numFmtId="0" fontId="11" fillId="4" borderId="12" xfId="0" applyFont="1" applyFill="1" applyBorder="1" applyAlignment="1" applyProtection="1">
      <alignment horizontal="center" vertical="center" wrapText="1"/>
      <protection hidden="1"/>
    </xf>
    <xf numFmtId="0" fontId="11" fillId="4" borderId="13" xfId="0" applyFont="1" applyFill="1" applyBorder="1" applyAlignment="1" applyProtection="1">
      <alignment horizontal="center" vertical="center" wrapText="1"/>
      <protection hidden="1"/>
    </xf>
    <xf numFmtId="0" fontId="11" fillId="4" borderId="14" xfId="0" applyFont="1" applyFill="1" applyBorder="1" applyAlignment="1" applyProtection="1">
      <alignment horizontal="center" vertical="center" wrapText="1"/>
      <protection hidden="1"/>
    </xf>
    <xf numFmtId="0" fontId="8" fillId="6" borderId="8" xfId="0" applyFont="1" applyFill="1" applyBorder="1" applyAlignment="1" applyProtection="1">
      <alignment horizontal="center" vertical="center"/>
      <protection hidden="1"/>
    </xf>
    <xf numFmtId="0" fontId="8" fillId="6" borderId="11" xfId="0" applyFont="1" applyFill="1" applyBorder="1" applyAlignment="1" applyProtection="1">
      <alignment horizontal="center" vertical="center"/>
      <protection hidden="1"/>
    </xf>
    <xf numFmtId="0" fontId="8" fillId="5" borderId="5" xfId="0" applyFont="1" applyFill="1" applyBorder="1" applyAlignment="1" applyProtection="1">
      <alignment horizontal="center" vertical="center"/>
      <protection hidden="1"/>
    </xf>
    <xf numFmtId="0" fontId="8" fillId="5" borderId="9" xfId="0" applyFont="1" applyFill="1" applyBorder="1" applyAlignment="1" applyProtection="1">
      <alignment horizontal="center" vertical="center"/>
      <protection hidden="1"/>
    </xf>
    <xf numFmtId="0" fontId="11" fillId="4" borderId="12" xfId="0" applyFont="1" applyFill="1" applyBorder="1" applyAlignment="1" applyProtection="1">
      <alignment horizontal="center" vertical="center"/>
      <protection hidden="1"/>
    </xf>
    <xf numFmtId="0" fontId="0" fillId="6" borderId="8" xfId="0" applyFill="1" applyBorder="1" applyAlignment="1" applyProtection="1">
      <alignment horizontal="center"/>
      <protection hidden="1"/>
    </xf>
    <xf numFmtId="0" fontId="0" fillId="6" borderId="11" xfId="0" applyFill="1" applyBorder="1" applyAlignment="1" applyProtection="1">
      <alignment horizontal="center"/>
      <protection hidden="1"/>
    </xf>
    <xf numFmtId="0" fontId="8" fillId="5" borderId="10" xfId="0" applyFont="1" applyFill="1" applyBorder="1" applyAlignment="1" applyProtection="1">
      <alignment horizontal="center" vertical="center"/>
      <protection hidden="1"/>
    </xf>
    <xf numFmtId="3" fontId="8" fillId="3" borderId="12" xfId="0" applyNumberFormat="1" applyFont="1" applyFill="1" applyBorder="1" applyAlignment="1" applyProtection="1">
      <alignment horizontal="center" vertical="center"/>
      <protection hidden="1"/>
    </xf>
    <xf numFmtId="3" fontId="8" fillId="3" borderId="14" xfId="0" applyNumberFormat="1" applyFont="1" applyFill="1" applyBorder="1" applyAlignment="1" applyProtection="1">
      <alignment horizontal="center" vertical="center"/>
      <protection hidden="1"/>
    </xf>
    <xf numFmtId="10" fontId="8" fillId="6" borderId="5" xfId="3" applyNumberFormat="1" applyFont="1" applyFill="1" applyBorder="1" applyAlignment="1" applyProtection="1">
      <alignment horizontal="center" vertical="center"/>
      <protection hidden="1"/>
    </xf>
    <xf numFmtId="10" fontId="8" fillId="6" borderId="10" xfId="3" applyNumberFormat="1" applyFont="1" applyFill="1" applyBorder="1" applyAlignment="1" applyProtection="1">
      <alignment horizontal="center" vertical="center"/>
      <protection hidden="1"/>
    </xf>
    <xf numFmtId="166" fontId="8" fillId="3" borderId="6" xfId="3" applyNumberFormat="1" applyFont="1" applyFill="1" applyBorder="1" applyAlignment="1" applyProtection="1">
      <alignment horizontal="center" vertical="center"/>
      <protection hidden="1"/>
    </xf>
    <xf numFmtId="166" fontId="8" fillId="3" borderId="7" xfId="3" applyNumberFormat="1" applyFont="1" applyFill="1" applyBorder="1" applyAlignment="1" applyProtection="1">
      <alignment horizontal="center" vertical="center"/>
      <protection hidden="1"/>
    </xf>
    <xf numFmtId="166" fontId="8" fillId="6" borderId="6" xfId="3" applyNumberFormat="1" applyFont="1" applyFill="1" applyBorder="1" applyAlignment="1" applyProtection="1">
      <alignment horizontal="center" vertical="center"/>
      <protection hidden="1"/>
    </xf>
    <xf numFmtId="166" fontId="8" fillId="6" borderId="7" xfId="3" applyNumberFormat="1" applyFont="1" applyFill="1" applyBorder="1" applyAlignment="1" applyProtection="1">
      <alignment horizontal="center" vertical="center"/>
      <protection hidden="1"/>
    </xf>
    <xf numFmtId="0" fontId="8" fillId="3" borderId="14" xfId="0" applyFont="1" applyFill="1" applyBorder="1" applyAlignment="1" applyProtection="1">
      <alignment horizontal="center" vertical="center"/>
      <protection hidden="1"/>
    </xf>
    <xf numFmtId="0" fontId="23" fillId="6" borderId="5" xfId="0" applyNumberFormat="1" applyFont="1" applyFill="1" applyBorder="1" applyAlignment="1" applyProtection="1">
      <alignment horizontal="center" vertical="center"/>
      <protection hidden="1"/>
    </xf>
    <xf numFmtId="0" fontId="23" fillId="6" borderId="10" xfId="0" applyNumberFormat="1" applyFont="1" applyFill="1" applyBorder="1" applyAlignment="1" applyProtection="1">
      <alignment horizontal="center" vertical="center"/>
      <protection hidden="1"/>
    </xf>
    <xf numFmtId="0" fontId="23" fillId="3" borderId="6" xfId="0" applyNumberFormat="1" applyFont="1" applyFill="1" applyBorder="1" applyAlignment="1" applyProtection="1">
      <alignment horizontal="center" vertical="center"/>
      <protection hidden="1"/>
    </xf>
    <xf numFmtId="0" fontId="23" fillId="3" borderId="7" xfId="0" applyNumberFormat="1" applyFont="1" applyFill="1" applyBorder="1" applyAlignment="1" applyProtection="1">
      <alignment horizontal="center" vertical="center"/>
      <protection hidden="1"/>
    </xf>
    <xf numFmtId="0" fontId="23" fillId="6" borderId="6" xfId="0" applyNumberFormat="1" applyFont="1" applyFill="1" applyBorder="1" applyAlignment="1" applyProtection="1">
      <alignment horizontal="center" vertical="center"/>
      <protection hidden="1"/>
    </xf>
    <xf numFmtId="0" fontId="23" fillId="6" borderId="7" xfId="0" applyNumberFormat="1" applyFont="1" applyFill="1" applyBorder="1" applyAlignment="1" applyProtection="1">
      <alignment horizontal="center" vertical="center"/>
      <protection hidden="1"/>
    </xf>
    <xf numFmtId="0" fontId="23" fillId="6" borderId="8" xfId="0" applyNumberFormat="1" applyFont="1" applyFill="1" applyBorder="1" applyAlignment="1" applyProtection="1">
      <alignment horizontal="center" vertical="center"/>
      <protection hidden="1"/>
    </xf>
    <xf numFmtId="0" fontId="23" fillId="6" borderId="11" xfId="0" applyNumberFormat="1" applyFont="1" applyFill="1" applyBorder="1" applyAlignment="1" applyProtection="1">
      <alignment horizontal="center" vertical="center"/>
      <protection hidden="1"/>
    </xf>
    <xf numFmtId="0" fontId="8" fillId="5" borderId="12" xfId="0" applyFont="1" applyFill="1" applyBorder="1" applyAlignment="1" applyProtection="1">
      <alignment horizontal="center" vertical="center"/>
      <protection hidden="1"/>
    </xf>
    <xf numFmtId="0" fontId="8" fillId="5" borderId="13" xfId="0" applyFont="1" applyFill="1" applyBorder="1" applyAlignment="1" applyProtection="1">
      <alignment horizontal="center" vertical="center"/>
      <protection hidden="1"/>
    </xf>
    <xf numFmtId="0" fontId="8" fillId="5" borderId="14" xfId="0" applyFont="1" applyFill="1" applyBorder="1" applyAlignment="1" applyProtection="1">
      <alignment horizontal="center" vertical="center"/>
      <protection hidden="1"/>
    </xf>
    <xf numFmtId="3" fontId="8" fillId="6" borderId="8" xfId="0" applyNumberFormat="1" applyFont="1" applyFill="1" applyBorder="1" applyAlignment="1" applyProtection="1">
      <alignment horizontal="center" vertical="center"/>
      <protection hidden="1"/>
    </xf>
    <xf numFmtId="3" fontId="8" fillId="6" borderId="11" xfId="0" applyNumberFormat="1" applyFont="1" applyFill="1" applyBorder="1" applyAlignment="1" applyProtection="1">
      <alignment horizontal="center" vertical="center"/>
      <protection hidden="1"/>
    </xf>
    <xf numFmtId="0" fontId="11" fillId="4" borderId="6" xfId="0" applyFont="1" applyFill="1" applyBorder="1" applyAlignment="1" applyProtection="1">
      <alignment horizontal="center" vertical="center"/>
      <protection locked="0"/>
    </xf>
    <xf numFmtId="0" fontId="11" fillId="4" borderId="0" xfId="0" applyFont="1" applyFill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68" fontId="32" fillId="6" borderId="15" xfId="0" applyNumberFormat="1" applyFont="1" applyFill="1" applyBorder="1" applyAlignment="1" applyProtection="1">
      <alignment horizontal="center" vertical="center"/>
      <protection locked="0"/>
    </xf>
    <xf numFmtId="49" fontId="32" fillId="6" borderId="15" xfId="0" applyNumberFormat="1" applyFont="1" applyFill="1" applyBorder="1" applyAlignment="1" applyProtection="1">
      <alignment horizontal="center" vertical="center" wrapText="1"/>
      <protection locked="0"/>
    </xf>
    <xf numFmtId="167" fontId="32" fillId="6" borderId="15" xfId="0" applyNumberFormat="1" applyFont="1" applyFill="1" applyBorder="1" applyAlignment="1" applyProtection="1">
      <alignment horizontal="center" vertical="center" wrapText="1"/>
      <protection locked="0"/>
    </xf>
    <xf numFmtId="0" fontId="32" fillId="6" borderId="15" xfId="0" applyNumberFormat="1" applyFont="1" applyFill="1" applyBorder="1" applyAlignment="1" applyProtection="1">
      <alignment horizontal="center" vertical="center"/>
      <protection hidden="1"/>
    </xf>
    <xf numFmtId="0" fontId="33" fillId="6" borderId="15" xfId="0" applyNumberFormat="1" applyFont="1" applyFill="1" applyBorder="1" applyAlignment="1" applyProtection="1">
      <alignment horizontal="left" vertical="center" wrapText="1"/>
      <protection locked="0"/>
    </xf>
    <xf numFmtId="49" fontId="31" fillId="6" borderId="15" xfId="4" applyNumberFormat="1" applyFont="1" applyFill="1" applyBorder="1" applyAlignment="1" applyProtection="1">
      <alignment horizontal="center" vertical="center"/>
      <protection locked="0"/>
    </xf>
    <xf numFmtId="49" fontId="32" fillId="6" borderId="15" xfId="1" applyNumberFormat="1" applyFont="1" applyFill="1" applyBorder="1" applyAlignment="1" applyProtection="1">
      <alignment horizontal="center" vertical="center" wrapText="1"/>
      <protection locked="0"/>
    </xf>
    <xf numFmtId="49" fontId="16" fillId="6" borderId="15" xfId="0" applyNumberFormat="1" applyFont="1" applyFill="1" applyBorder="1" applyAlignment="1" applyProtection="1">
      <alignment horizontal="center" vertical="center" wrapText="1"/>
      <protection locked="0"/>
    </xf>
  </cellXfs>
  <cellStyles count="81">
    <cellStyle name="Hiperlink 2" xfId="6" xr:uid="{00000000-0005-0000-0000-000001000000}"/>
    <cellStyle name="Hyperlink" xfId="4" builtinId="8"/>
    <cellStyle name="Normal" xfId="0" builtinId="0"/>
    <cellStyle name="Normal 10" xfId="20" xr:uid="{00000000-0005-0000-0000-000003000000}"/>
    <cellStyle name="Normal 10 2" xfId="38" xr:uid="{00000000-0005-0000-0000-000004000000}"/>
    <cellStyle name="Normal 11" xfId="19" xr:uid="{00000000-0005-0000-0000-000005000000}"/>
    <cellStyle name="Normal 11 2" xfId="37" xr:uid="{00000000-0005-0000-0000-000006000000}"/>
    <cellStyle name="Normal 11 2 2" xfId="72" xr:uid="{00000000-0005-0000-0000-000007000000}"/>
    <cellStyle name="Normal 11 3" xfId="57" xr:uid="{00000000-0005-0000-0000-000008000000}"/>
    <cellStyle name="Normal 12" xfId="46" xr:uid="{00000000-0005-0000-0000-000009000000}"/>
    <cellStyle name="Normal 12 2" xfId="80" xr:uid="{00000000-0005-0000-0000-00000A000000}"/>
    <cellStyle name="Normal 13" xfId="48" xr:uid="{00000000-0005-0000-0000-00000B000000}"/>
    <cellStyle name="Normal 14" xfId="47" xr:uid="{00000000-0005-0000-0000-00000C000000}"/>
    <cellStyle name="Normal 2" xfId="1" xr:uid="{00000000-0005-0000-0000-00000D000000}"/>
    <cellStyle name="Normal 3" xfId="5" xr:uid="{00000000-0005-0000-0000-00000E000000}"/>
    <cellStyle name="Normal 3 2" xfId="8" xr:uid="{00000000-0005-0000-0000-00000F000000}"/>
    <cellStyle name="Normal 3 2 2" xfId="15" xr:uid="{00000000-0005-0000-0000-000010000000}"/>
    <cellStyle name="Normal 3 2 2 2" xfId="27" xr:uid="{00000000-0005-0000-0000-000011000000}"/>
    <cellStyle name="Normal 3 2 2 2 2" xfId="44" xr:uid="{00000000-0005-0000-0000-000012000000}"/>
    <cellStyle name="Normal 3 2 2 2 2 2" xfId="78" xr:uid="{00000000-0005-0000-0000-000013000000}"/>
    <cellStyle name="Normal 3 2 2 2 3" xfId="63" xr:uid="{00000000-0005-0000-0000-000014000000}"/>
    <cellStyle name="Normal 3 2 2 3" xfId="35" xr:uid="{00000000-0005-0000-0000-000015000000}"/>
    <cellStyle name="Normal 3 2 2 3 2" xfId="70" xr:uid="{00000000-0005-0000-0000-000016000000}"/>
    <cellStyle name="Normal 3 2 2 4" xfId="55" xr:uid="{00000000-0005-0000-0000-000017000000}"/>
    <cellStyle name="Normal 3 2 3" xfId="23" xr:uid="{00000000-0005-0000-0000-000018000000}"/>
    <cellStyle name="Normal 3 2 3 2" xfId="40" xr:uid="{00000000-0005-0000-0000-000019000000}"/>
    <cellStyle name="Normal 3 2 3 2 2" xfId="74" xr:uid="{00000000-0005-0000-0000-00001A000000}"/>
    <cellStyle name="Normal 3 2 3 3" xfId="59" xr:uid="{00000000-0005-0000-0000-00001B000000}"/>
    <cellStyle name="Normal 3 2 4" xfId="31" xr:uid="{00000000-0005-0000-0000-00001C000000}"/>
    <cellStyle name="Normal 3 2 4 2" xfId="66" xr:uid="{00000000-0005-0000-0000-00001D000000}"/>
    <cellStyle name="Normal 3 2 5" xfId="51" xr:uid="{00000000-0005-0000-0000-00001E000000}"/>
    <cellStyle name="Normal 3 3" xfId="9" xr:uid="{00000000-0005-0000-0000-00001F000000}"/>
    <cellStyle name="Normal 3 3 2" xfId="16" xr:uid="{00000000-0005-0000-0000-000020000000}"/>
    <cellStyle name="Normal 3 3 2 2" xfId="28" xr:uid="{00000000-0005-0000-0000-000021000000}"/>
    <cellStyle name="Normal 3 3 2 2 2" xfId="45" xr:uid="{00000000-0005-0000-0000-000022000000}"/>
    <cellStyle name="Normal 3 3 2 2 2 2" xfId="79" xr:uid="{00000000-0005-0000-0000-000023000000}"/>
    <cellStyle name="Normal 3 3 2 2 3" xfId="64" xr:uid="{00000000-0005-0000-0000-000024000000}"/>
    <cellStyle name="Normal 3 3 2 3" xfId="36" xr:uid="{00000000-0005-0000-0000-000025000000}"/>
    <cellStyle name="Normal 3 3 2 3 2" xfId="71" xr:uid="{00000000-0005-0000-0000-000026000000}"/>
    <cellStyle name="Normal 3 3 2 4" xfId="56" xr:uid="{00000000-0005-0000-0000-000027000000}"/>
    <cellStyle name="Normal 3 3 3" xfId="24" xr:uid="{00000000-0005-0000-0000-000028000000}"/>
    <cellStyle name="Normal 3 3 3 2" xfId="41" xr:uid="{00000000-0005-0000-0000-000029000000}"/>
    <cellStyle name="Normal 3 3 3 2 2" xfId="75" xr:uid="{00000000-0005-0000-0000-00002A000000}"/>
    <cellStyle name="Normal 3 3 3 3" xfId="60" xr:uid="{00000000-0005-0000-0000-00002B000000}"/>
    <cellStyle name="Normal 3 3 4" xfId="32" xr:uid="{00000000-0005-0000-0000-00002C000000}"/>
    <cellStyle name="Normal 3 3 4 2" xfId="67" xr:uid="{00000000-0005-0000-0000-00002D000000}"/>
    <cellStyle name="Normal 3 3 5" xfId="52" xr:uid="{00000000-0005-0000-0000-00002E000000}"/>
    <cellStyle name="Normal 3 4" xfId="14" xr:uid="{00000000-0005-0000-0000-00002F000000}"/>
    <cellStyle name="Normal 3 4 2" xfId="26" xr:uid="{00000000-0005-0000-0000-000030000000}"/>
    <cellStyle name="Normal 3 4 2 2" xfId="43" xr:uid="{00000000-0005-0000-0000-000031000000}"/>
    <cellStyle name="Normal 3 4 2 2 2" xfId="77" xr:uid="{00000000-0005-0000-0000-000032000000}"/>
    <cellStyle name="Normal 3 4 2 3" xfId="62" xr:uid="{00000000-0005-0000-0000-000033000000}"/>
    <cellStyle name="Normal 3 4 3" xfId="34" xr:uid="{00000000-0005-0000-0000-000034000000}"/>
    <cellStyle name="Normal 3 4 3 2" xfId="69" xr:uid="{00000000-0005-0000-0000-000035000000}"/>
    <cellStyle name="Normal 3 4 4" xfId="54" xr:uid="{00000000-0005-0000-0000-000036000000}"/>
    <cellStyle name="Normal 3 5" xfId="22" xr:uid="{00000000-0005-0000-0000-000037000000}"/>
    <cellStyle name="Normal 3 5 2" xfId="39" xr:uid="{00000000-0005-0000-0000-000038000000}"/>
    <cellStyle name="Normal 3 5 2 2" xfId="73" xr:uid="{00000000-0005-0000-0000-000039000000}"/>
    <cellStyle name="Normal 3 5 3" xfId="58" xr:uid="{00000000-0005-0000-0000-00003A000000}"/>
    <cellStyle name="Normal 3 6" xfId="30" xr:uid="{00000000-0005-0000-0000-00003B000000}"/>
    <cellStyle name="Normal 3 6 2" xfId="65" xr:uid="{00000000-0005-0000-0000-00003C000000}"/>
    <cellStyle name="Normal 3 7" xfId="50" xr:uid="{00000000-0005-0000-0000-00003D000000}"/>
    <cellStyle name="Normal 4" xfId="2" xr:uid="{00000000-0005-0000-0000-00003E000000}"/>
    <cellStyle name="Normal 5" xfId="10" xr:uid="{00000000-0005-0000-0000-00003F000000}"/>
    <cellStyle name="Normal 6" xfId="12" xr:uid="{00000000-0005-0000-0000-000040000000}"/>
    <cellStyle name="Normal 7" xfId="11" xr:uid="{00000000-0005-0000-0000-000041000000}"/>
    <cellStyle name="Normal 7 2" xfId="25" xr:uid="{00000000-0005-0000-0000-000042000000}"/>
    <cellStyle name="Normal 7 2 2" xfId="42" xr:uid="{00000000-0005-0000-0000-000043000000}"/>
    <cellStyle name="Normal 7 2 2 2" xfId="76" xr:uid="{00000000-0005-0000-0000-000044000000}"/>
    <cellStyle name="Normal 7 2 3" xfId="61" xr:uid="{00000000-0005-0000-0000-000045000000}"/>
    <cellStyle name="Normal 7 3" xfId="33" xr:uid="{00000000-0005-0000-0000-000046000000}"/>
    <cellStyle name="Normal 7 3 2" xfId="68" xr:uid="{00000000-0005-0000-0000-000047000000}"/>
    <cellStyle name="Normal 7 4" xfId="53" xr:uid="{00000000-0005-0000-0000-000048000000}"/>
    <cellStyle name="Normal 8" xfId="17" xr:uid="{00000000-0005-0000-0000-000049000000}"/>
    <cellStyle name="Normal 8 2" xfId="29" xr:uid="{00000000-0005-0000-0000-00004A000000}"/>
    <cellStyle name="Normal 9" xfId="18" xr:uid="{00000000-0005-0000-0000-00004B000000}"/>
    <cellStyle name="Percent" xfId="3" builtinId="5"/>
    <cellStyle name="Porcentagem 2" xfId="7" xr:uid="{00000000-0005-0000-0000-00004D000000}"/>
    <cellStyle name="Porcentagem 3" xfId="13" xr:uid="{00000000-0005-0000-0000-00004E000000}"/>
    <cellStyle name="Porcentagem 4" xfId="21" xr:uid="{00000000-0005-0000-0000-00004F000000}"/>
    <cellStyle name="Porcentagem 5" xfId="49" xr:uid="{00000000-0005-0000-0000-000050000000}"/>
  </cellStyles>
  <dxfs count="22"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67" formatCode="d/m/yyyy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67" formatCode="d/m/yyyy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30" formatCode="@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30" formatCode="@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68" formatCode="dd/mm/yyyy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68" formatCode="dd/mm/yyyy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68" formatCode="dd/mm/yyyy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numFmt numFmtId="168" formatCode="dd/mm/yyyy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30" formatCode="@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0" hidden="0"/>
    </dxf>
    <dxf>
      <border outline="0"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protection locked="0" hidden="0"/>
    </dxf>
    <dxf>
      <border>
        <bottom style="thin">
          <color theme="0"/>
        </bottom>
      </border>
    </dxf>
    <dxf>
      <font>
        <b val="0"/>
        <strike val="0"/>
        <outline val="0"/>
        <shadow val="0"/>
        <u val="none"/>
        <vertAlign val="baseline"/>
        <sz val="10"/>
        <color indexed="9"/>
        <name val="Arial"/>
        <scheme val="none"/>
      </font>
      <fill>
        <patternFill patternType="solid">
          <bgColor theme="3"/>
        </patternFill>
      </fill>
      <alignment horizontal="center" vertical="center" textRotation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  <protection locked="0" hidden="0"/>
    </dxf>
  </dxfs>
  <tableStyles count="0" defaultTableStyle="TableStyleMedium9" defaultPivotStyle="PivotStyleLight16"/>
  <colors>
    <mruColors>
      <color rgb="FFCC9900"/>
      <color rgb="FFDAA600"/>
      <color rgb="FFE6E6E6"/>
      <color rgb="FFE2E2E2"/>
      <color rgb="FFE4E4E4"/>
      <color rgb="FFAC8300"/>
      <color rgb="FFFF0066"/>
      <color rgb="FFF1D423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pt-BR" sz="1200" b="1" i="0" baseline="0">
                <a:effectLst/>
                <a:latin typeface="+mn-lt"/>
              </a:rPr>
              <a:t>Qtd. por tempo da abertura do Ticket</a:t>
            </a:r>
            <a:endParaRPr lang="pt-BR" sz="1200">
              <a:effectLst/>
              <a:latin typeface="+mn-lt"/>
            </a:endParaRPr>
          </a:p>
        </c:rich>
      </c:tx>
      <c:layout>
        <c:manualLayout>
          <c:xMode val="edge"/>
          <c:yMode val="edge"/>
          <c:x val="0.18479065656565657"/>
          <c:y val="3.43500481887378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6897254928466353E-2"/>
          <c:y val="0.19253345882697512"/>
          <c:w val="0.87621911358891202"/>
          <c:h val="0.68613381700250708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Geral!$C$5</c:f>
              <c:strCache>
                <c:ptCount val="1"/>
                <c:pt idx="0">
                  <c:v>1w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accent3">
                  <a:lumMod val="75000"/>
                </a:schemeClr>
              </a:solidFill>
            </a:ln>
          </c:spPr>
          <c:invertIfNegative val="0"/>
          <c:cat>
            <c:strRef>
              <c:f>Geral!$B$6:$B$13</c:f>
              <c:strCache>
                <c:ptCount val="8"/>
                <c:pt idx="0">
                  <c:v>EX1</c:v>
                </c:pt>
                <c:pt idx="1">
                  <c:v>EX2</c:v>
                </c:pt>
                <c:pt idx="2">
                  <c:v>EX3</c:v>
                </c:pt>
                <c:pt idx="3">
                  <c:v>EX4</c:v>
                </c:pt>
                <c:pt idx="4">
                  <c:v>EX5</c:v>
                </c:pt>
                <c:pt idx="5">
                  <c:v>EX6</c:v>
                </c:pt>
                <c:pt idx="6">
                  <c:v>EX7</c:v>
                </c:pt>
                <c:pt idx="7">
                  <c:v>EX8</c:v>
                </c:pt>
              </c:strCache>
            </c:strRef>
          </c:cat>
          <c:val>
            <c:numRef>
              <c:f>Geral!$C$6:$C$13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02-448B-A96A-541B838D9062}"/>
            </c:ext>
          </c:extLst>
        </c:ser>
        <c:ser>
          <c:idx val="1"/>
          <c:order val="1"/>
          <c:tx>
            <c:strRef>
              <c:f>Geral!$D$5</c:f>
              <c:strCache>
                <c:ptCount val="1"/>
                <c:pt idx="0">
                  <c:v>2w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rgbClr val="CC9900"/>
              </a:solidFill>
            </a:ln>
          </c:spPr>
          <c:invertIfNegative val="0"/>
          <c:cat>
            <c:strRef>
              <c:f>Geral!$B$6:$B$13</c:f>
              <c:strCache>
                <c:ptCount val="8"/>
                <c:pt idx="0">
                  <c:v>EX1</c:v>
                </c:pt>
                <c:pt idx="1">
                  <c:v>EX2</c:v>
                </c:pt>
                <c:pt idx="2">
                  <c:v>EX3</c:v>
                </c:pt>
                <c:pt idx="3">
                  <c:v>EX4</c:v>
                </c:pt>
                <c:pt idx="4">
                  <c:v>EX5</c:v>
                </c:pt>
                <c:pt idx="5">
                  <c:v>EX6</c:v>
                </c:pt>
                <c:pt idx="6">
                  <c:v>EX7</c:v>
                </c:pt>
                <c:pt idx="7">
                  <c:v>EX8</c:v>
                </c:pt>
              </c:strCache>
            </c:strRef>
          </c:cat>
          <c:val>
            <c:numRef>
              <c:f>Geral!$D$6:$D$13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02-448B-A96A-541B838D9062}"/>
            </c:ext>
          </c:extLst>
        </c:ser>
        <c:ser>
          <c:idx val="0"/>
          <c:order val="2"/>
          <c:tx>
            <c:strRef>
              <c:f>Geral!$E$5</c:f>
              <c:strCache>
                <c:ptCount val="1"/>
                <c:pt idx="0">
                  <c:v>3w+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rgbClr val="C00000"/>
              </a:solidFill>
            </a:ln>
          </c:spPr>
          <c:invertIfNegative val="0"/>
          <c:cat>
            <c:strRef>
              <c:f>Geral!$B$6:$B$13</c:f>
              <c:strCache>
                <c:ptCount val="8"/>
                <c:pt idx="0">
                  <c:v>EX1</c:v>
                </c:pt>
                <c:pt idx="1">
                  <c:v>EX2</c:v>
                </c:pt>
                <c:pt idx="2">
                  <c:v>EX3</c:v>
                </c:pt>
                <c:pt idx="3">
                  <c:v>EX4</c:v>
                </c:pt>
                <c:pt idx="4">
                  <c:v>EX5</c:v>
                </c:pt>
                <c:pt idx="5">
                  <c:v>EX6</c:v>
                </c:pt>
                <c:pt idx="6">
                  <c:v>EX7</c:v>
                </c:pt>
                <c:pt idx="7">
                  <c:v>EX8</c:v>
                </c:pt>
              </c:strCache>
            </c:strRef>
          </c:cat>
          <c:val>
            <c:numRef>
              <c:f>Geral!$E$6:$E$13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02-448B-A96A-541B838D90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193536"/>
        <c:axId val="52207616"/>
      </c:barChart>
      <c:catAx>
        <c:axId val="5219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52207616"/>
        <c:crosses val="autoZero"/>
        <c:auto val="1"/>
        <c:lblAlgn val="ctr"/>
        <c:lblOffset val="100"/>
        <c:noMultiLvlLbl val="0"/>
      </c:catAx>
      <c:valAx>
        <c:axId val="5220761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52193536"/>
        <c:crosses val="autoZero"/>
        <c:crossBetween val="between"/>
        <c:majorUnit val="1"/>
      </c:valAx>
      <c:spPr>
        <a:solidFill>
          <a:sysClr val="window" lastClr="FFFFFF"/>
        </a:solidFill>
      </c:spPr>
    </c:plotArea>
    <c:legend>
      <c:legendPos val="r"/>
      <c:layout>
        <c:manualLayout>
          <c:xMode val="edge"/>
          <c:yMode val="edge"/>
          <c:x val="0.89576540404040406"/>
          <c:y val="1.962402190923318E-2"/>
          <c:w val="0.10423459595959596"/>
          <c:h val="0.17627034428794991"/>
        </c:manualLayout>
      </c:layout>
      <c:overlay val="1"/>
    </c:legend>
    <c:plotVisOnly val="1"/>
    <c:dispBlanksAs val="gap"/>
    <c:showDLblsOverMax val="0"/>
  </c:chart>
  <c:spPr>
    <a:solidFill>
      <a:sysClr val="window" lastClr="FFFFFF"/>
    </a:solidFill>
    <a:effectLst/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200" b="1" i="0" baseline="0">
                <a:effectLst/>
                <a:latin typeface="+mn-lt"/>
              </a:rPr>
              <a:t>Quantidade mensal de Tickets recebidos </a:t>
            </a:r>
          </a:p>
        </c:rich>
      </c:tx>
      <c:layout>
        <c:manualLayout>
          <c:xMode val="edge"/>
          <c:yMode val="edge"/>
          <c:x val="0.16667995685902623"/>
          <c:y val="3.86581094829724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0644444444444449E-2"/>
          <c:y val="0.16890567129101894"/>
          <c:w val="0.88880000000000003"/>
          <c:h val="0.631711779341852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Geral!$C$39</c:f>
              <c:strCache>
                <c:ptCount val="1"/>
                <c:pt idx="0">
                  <c:v>Tickets Recebidos</c:v>
                </c:pt>
              </c:strCache>
            </c:strRef>
          </c:tx>
          <c:invertIfNegative val="0"/>
          <c:cat>
            <c:strRef>
              <c:f>Geral!$B$40:$B$52</c:f>
              <c:strCache>
                <c:ptCount val="13"/>
                <c:pt idx="0">
                  <c:v>nov-19</c:v>
                </c:pt>
                <c:pt idx="1">
                  <c:v>dez-19</c:v>
                </c:pt>
                <c:pt idx="2">
                  <c:v>jan-20</c:v>
                </c:pt>
                <c:pt idx="3">
                  <c:v>fev-20</c:v>
                </c:pt>
                <c:pt idx="4">
                  <c:v>mar-20</c:v>
                </c:pt>
                <c:pt idx="5">
                  <c:v>abr-20</c:v>
                </c:pt>
                <c:pt idx="6">
                  <c:v>mai-20</c:v>
                </c:pt>
                <c:pt idx="7">
                  <c:v>jun-20</c:v>
                </c:pt>
                <c:pt idx="8">
                  <c:v>jul-20</c:v>
                </c:pt>
                <c:pt idx="9">
                  <c:v>ago-20</c:v>
                </c:pt>
                <c:pt idx="10">
                  <c:v>set-20</c:v>
                </c:pt>
                <c:pt idx="11">
                  <c:v>out-20</c:v>
                </c:pt>
                <c:pt idx="12">
                  <c:v>Nov-20</c:v>
                </c:pt>
              </c:strCache>
            </c:strRef>
          </c:cat>
          <c:val>
            <c:numRef>
              <c:f>Geral!$C$40:$C$52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33-4DDE-886B-22FC560EE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228096"/>
        <c:axId val="52229632"/>
      </c:barChart>
      <c:catAx>
        <c:axId val="5222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52229632"/>
        <c:crosses val="autoZero"/>
        <c:auto val="1"/>
        <c:lblAlgn val="ctr"/>
        <c:lblOffset val="100"/>
        <c:noMultiLvlLbl val="1"/>
      </c:catAx>
      <c:valAx>
        <c:axId val="5222963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52228096"/>
        <c:crosses val="autoZero"/>
        <c:crossBetween val="between"/>
      </c:valAx>
    </c:plotArea>
    <c:plotVisOnly val="1"/>
    <c:dispBlanksAs val="gap"/>
    <c:showDLblsOverMax val="0"/>
  </c:chart>
  <c:spPr>
    <a:effectLst/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Ranking por tempo </a:t>
            </a:r>
          </a:p>
        </c:rich>
      </c:tx>
      <c:layout>
        <c:manualLayout>
          <c:xMode val="edge"/>
          <c:yMode val="edge"/>
          <c:x val="0.26983964646464648"/>
          <c:y val="2.4500199671735841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Geral!$C$22</c:f>
              <c:strCache>
                <c:ptCount val="1"/>
                <c:pt idx="0">
                  <c:v>Tempo desde a abertura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cat>
            <c:strRef>
              <c:f>Geral!$B$23:$B$30</c:f>
              <c:strCache>
                <c:ptCount val="8"/>
                <c:pt idx="0">
                  <c:v>EX1</c:v>
                </c:pt>
                <c:pt idx="1">
                  <c:v>EX2</c:v>
                </c:pt>
                <c:pt idx="2">
                  <c:v>EX3</c:v>
                </c:pt>
                <c:pt idx="3">
                  <c:v>EX4</c:v>
                </c:pt>
                <c:pt idx="4">
                  <c:v>EX5</c:v>
                </c:pt>
                <c:pt idx="5">
                  <c:v>EX6</c:v>
                </c:pt>
                <c:pt idx="6">
                  <c:v>EX7</c:v>
                </c:pt>
                <c:pt idx="7">
                  <c:v>EX8</c:v>
                </c:pt>
              </c:strCache>
            </c:strRef>
          </c:cat>
          <c:val>
            <c:numRef>
              <c:f>Geral!$C$23:$C$30</c:f>
              <c:numCache>
                <c:formatCode>General</c:formatCode>
                <c:ptCount val="8"/>
                <c:pt idx="0">
                  <c:v>0</c:v>
                </c:pt>
                <c:pt idx="1">
                  <c:v>295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8D-4FDD-A6C5-CA2D474EA74E}"/>
            </c:ext>
          </c:extLst>
        </c:ser>
        <c:ser>
          <c:idx val="2"/>
          <c:order val="1"/>
          <c:tx>
            <c:strRef>
              <c:f>Geral!$E$22</c:f>
              <c:strCache>
                <c:ptCount val="1"/>
                <c:pt idx="0">
                  <c:v>Tempo recebido em PR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strRef>
              <c:f>Geral!$B$23:$B$30</c:f>
              <c:strCache>
                <c:ptCount val="8"/>
                <c:pt idx="0">
                  <c:v>EX1</c:v>
                </c:pt>
                <c:pt idx="1">
                  <c:v>EX2</c:v>
                </c:pt>
                <c:pt idx="2">
                  <c:v>EX3</c:v>
                </c:pt>
                <c:pt idx="3">
                  <c:v>EX4</c:v>
                </c:pt>
                <c:pt idx="4">
                  <c:v>EX5</c:v>
                </c:pt>
                <c:pt idx="5">
                  <c:v>EX6</c:v>
                </c:pt>
                <c:pt idx="6">
                  <c:v>EX7</c:v>
                </c:pt>
                <c:pt idx="7">
                  <c:v>EX8</c:v>
                </c:pt>
              </c:strCache>
            </c:strRef>
          </c:cat>
          <c:val>
            <c:numRef>
              <c:f>Geral!$E$23:$E$30</c:f>
              <c:numCache>
                <c:formatCode>General</c:formatCode>
                <c:ptCount val="8"/>
                <c:pt idx="0">
                  <c:v>0</c:v>
                </c:pt>
                <c:pt idx="1">
                  <c:v>295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8D-4FDD-A6C5-CA2D474EA7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250496"/>
        <c:axId val="52252032"/>
      </c:barChart>
      <c:catAx>
        <c:axId val="52250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52252032"/>
        <c:crosses val="autoZero"/>
        <c:auto val="1"/>
        <c:lblAlgn val="ctr"/>
        <c:lblOffset val="100"/>
        <c:noMultiLvlLbl val="0"/>
      </c:catAx>
      <c:valAx>
        <c:axId val="5225203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522504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1953030303030299"/>
          <c:y val="1.4908313413928106E-2"/>
          <c:w val="0.37071767676767675"/>
          <c:h val="0.1076886038073292"/>
        </c:manualLayout>
      </c:layout>
      <c:overlay val="1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200" b="1" i="0" baseline="0">
                <a:effectLst/>
              </a:rPr>
              <a:t>Qtd. por tempo do recebimento em Produtos</a:t>
            </a:r>
            <a:endParaRPr lang="pt-BR" sz="1200">
              <a:effectLst/>
              <a:latin typeface="+mn-lt"/>
            </a:endParaRPr>
          </a:p>
        </c:rich>
      </c:tx>
      <c:layout>
        <c:manualLayout>
          <c:xMode val="edge"/>
          <c:yMode val="edge"/>
          <c:x val="0.11795858585858587"/>
          <c:y val="4.357278410146156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7937928242889943E-2"/>
          <c:y val="0.19588197658605552"/>
          <c:w val="0.87473672538885017"/>
          <c:h val="0.68067509572805895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Geral!$O$5</c:f>
              <c:strCache>
                <c:ptCount val="1"/>
                <c:pt idx="0">
                  <c:v>1w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accent3">
                  <a:lumMod val="75000"/>
                </a:schemeClr>
              </a:solidFill>
            </a:ln>
          </c:spPr>
          <c:invertIfNegative val="0"/>
          <c:cat>
            <c:strRef>
              <c:f>Geral!$N$6:$N$13</c:f>
              <c:strCache>
                <c:ptCount val="8"/>
                <c:pt idx="0">
                  <c:v>EX1</c:v>
                </c:pt>
                <c:pt idx="1">
                  <c:v>EX2</c:v>
                </c:pt>
                <c:pt idx="2">
                  <c:v>EX3</c:v>
                </c:pt>
                <c:pt idx="3">
                  <c:v>EX4</c:v>
                </c:pt>
                <c:pt idx="4">
                  <c:v>EX5</c:v>
                </c:pt>
                <c:pt idx="5">
                  <c:v>EX6</c:v>
                </c:pt>
                <c:pt idx="6">
                  <c:v>EX7</c:v>
                </c:pt>
                <c:pt idx="7">
                  <c:v>EX8</c:v>
                </c:pt>
              </c:strCache>
            </c:strRef>
          </c:cat>
          <c:val>
            <c:numRef>
              <c:f>Geral!$O$6:$O$13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0A-4ED1-8D50-95A002FE8FCC}"/>
            </c:ext>
          </c:extLst>
        </c:ser>
        <c:ser>
          <c:idx val="1"/>
          <c:order val="1"/>
          <c:tx>
            <c:strRef>
              <c:f>Geral!$P$5</c:f>
              <c:strCache>
                <c:ptCount val="1"/>
                <c:pt idx="0">
                  <c:v>2w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rgbClr val="CC9900"/>
              </a:solidFill>
            </a:ln>
          </c:spPr>
          <c:invertIfNegative val="0"/>
          <c:cat>
            <c:strRef>
              <c:f>Geral!$N$6:$N$13</c:f>
              <c:strCache>
                <c:ptCount val="8"/>
                <c:pt idx="0">
                  <c:v>EX1</c:v>
                </c:pt>
                <c:pt idx="1">
                  <c:v>EX2</c:v>
                </c:pt>
                <c:pt idx="2">
                  <c:v>EX3</c:v>
                </c:pt>
                <c:pt idx="3">
                  <c:v>EX4</c:v>
                </c:pt>
                <c:pt idx="4">
                  <c:v>EX5</c:v>
                </c:pt>
                <c:pt idx="5">
                  <c:v>EX6</c:v>
                </c:pt>
                <c:pt idx="6">
                  <c:v>EX7</c:v>
                </c:pt>
                <c:pt idx="7">
                  <c:v>EX8</c:v>
                </c:pt>
              </c:strCache>
            </c:strRef>
          </c:cat>
          <c:val>
            <c:numRef>
              <c:f>Geral!$P$6:$P$13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0A-4ED1-8D50-95A002FE8FCC}"/>
            </c:ext>
          </c:extLst>
        </c:ser>
        <c:ser>
          <c:idx val="0"/>
          <c:order val="2"/>
          <c:tx>
            <c:strRef>
              <c:f>Geral!$Q$5</c:f>
              <c:strCache>
                <c:ptCount val="1"/>
                <c:pt idx="0">
                  <c:v>3w+</c:v>
                </c:pt>
              </c:strCache>
            </c:strRef>
          </c:tx>
          <c:spPr>
            <a:solidFill>
              <a:srgbClr val="C00000"/>
            </a:solidFill>
            <a:ln>
              <a:solidFill>
                <a:srgbClr val="C00000"/>
              </a:solidFill>
            </a:ln>
          </c:spPr>
          <c:invertIfNegative val="0"/>
          <c:cat>
            <c:strRef>
              <c:f>Geral!$N$6:$N$13</c:f>
              <c:strCache>
                <c:ptCount val="8"/>
                <c:pt idx="0">
                  <c:v>EX1</c:v>
                </c:pt>
                <c:pt idx="1">
                  <c:v>EX2</c:v>
                </c:pt>
                <c:pt idx="2">
                  <c:v>EX3</c:v>
                </c:pt>
                <c:pt idx="3">
                  <c:v>EX4</c:v>
                </c:pt>
                <c:pt idx="4">
                  <c:v>EX5</c:v>
                </c:pt>
                <c:pt idx="5">
                  <c:v>EX6</c:v>
                </c:pt>
                <c:pt idx="6">
                  <c:v>EX7</c:v>
                </c:pt>
                <c:pt idx="7">
                  <c:v>EX8</c:v>
                </c:pt>
              </c:strCache>
            </c:strRef>
          </c:cat>
          <c:val>
            <c:numRef>
              <c:f>Geral!$Q$6:$Q$13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0A-4ED1-8D50-95A002FE8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286592"/>
        <c:axId val="52288128"/>
      </c:barChart>
      <c:catAx>
        <c:axId val="5228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52288128"/>
        <c:crosses val="autoZero"/>
        <c:auto val="1"/>
        <c:lblAlgn val="ctr"/>
        <c:lblOffset val="100"/>
        <c:noMultiLvlLbl val="0"/>
      </c:catAx>
      <c:valAx>
        <c:axId val="5228812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52286592"/>
        <c:crosses val="autoZero"/>
        <c:crossBetween val="between"/>
        <c:majorUnit val="1"/>
      </c:valAx>
    </c:plotArea>
    <c:legend>
      <c:legendPos val="r"/>
      <c:layout>
        <c:manualLayout>
          <c:xMode val="edge"/>
          <c:yMode val="edge"/>
          <c:x val="0.87277070707070703"/>
          <c:y val="1.4708456225442278E-2"/>
          <c:w val="0.1199159090909091"/>
          <c:h val="0.16894107828128618"/>
        </c:manualLayout>
      </c:layout>
      <c:overlay val="1"/>
    </c:legend>
    <c:plotVisOnly val="1"/>
    <c:dispBlanksAs val="gap"/>
    <c:showDLblsOverMax val="0"/>
  </c:chart>
  <c:spPr>
    <a:effectLst/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pt-BR" sz="1200" b="1" i="0" baseline="0">
                <a:effectLst/>
              </a:rPr>
              <a:t>Qtd. pendentes e respondidos </a:t>
            </a:r>
            <a:endParaRPr lang="pt-BR" sz="1200">
              <a:effectLst/>
            </a:endParaRPr>
          </a:p>
        </c:rich>
      </c:tx>
      <c:layout>
        <c:manualLayout>
          <c:xMode val="edge"/>
          <c:yMode val="edge"/>
          <c:x val="0.22406565656565658"/>
          <c:y val="3.7015432098765434E-2"/>
        </c:manualLayout>
      </c:layout>
      <c:overlay val="1"/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Geral!$R$22</c:f>
              <c:strCache>
                <c:ptCount val="1"/>
                <c:pt idx="0">
                  <c:v>Total RS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/>
              </a:solidFill>
            </a:ln>
          </c:spPr>
          <c:invertIfNegative val="0"/>
          <c:cat>
            <c:strRef>
              <c:f>Geral!$N$23:$N$30</c:f>
              <c:strCache>
                <c:ptCount val="8"/>
                <c:pt idx="0">
                  <c:v>EX1</c:v>
                </c:pt>
                <c:pt idx="1">
                  <c:v>EX2</c:v>
                </c:pt>
                <c:pt idx="2">
                  <c:v>EX3</c:v>
                </c:pt>
                <c:pt idx="3">
                  <c:v>EX4</c:v>
                </c:pt>
                <c:pt idx="4">
                  <c:v>EX5</c:v>
                </c:pt>
                <c:pt idx="5">
                  <c:v>EX6</c:v>
                </c:pt>
                <c:pt idx="6">
                  <c:v>EX7</c:v>
                </c:pt>
                <c:pt idx="7">
                  <c:v>EX8</c:v>
                </c:pt>
              </c:strCache>
            </c:strRef>
          </c:cat>
          <c:val>
            <c:numRef>
              <c:f>Geral!$R$23:$R$30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75-4FE8-8F5B-C02EE69B1285}"/>
            </c:ext>
          </c:extLst>
        </c:ser>
        <c:ser>
          <c:idx val="0"/>
          <c:order val="1"/>
          <c:tx>
            <c:strRef>
              <c:f>Geral!$Q$22</c:f>
              <c:strCache>
                <c:ptCount val="1"/>
                <c:pt idx="0">
                  <c:v>Total PD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rgbClr val="CC9900"/>
              </a:solidFill>
            </a:ln>
          </c:spPr>
          <c:invertIfNegative val="0"/>
          <c:cat>
            <c:strRef>
              <c:f>Geral!$N$23:$N$30</c:f>
              <c:strCache>
                <c:ptCount val="8"/>
                <c:pt idx="0">
                  <c:v>EX1</c:v>
                </c:pt>
                <c:pt idx="1">
                  <c:v>EX2</c:v>
                </c:pt>
                <c:pt idx="2">
                  <c:v>EX3</c:v>
                </c:pt>
                <c:pt idx="3">
                  <c:v>EX4</c:v>
                </c:pt>
                <c:pt idx="4">
                  <c:v>EX5</c:v>
                </c:pt>
                <c:pt idx="5">
                  <c:v>EX6</c:v>
                </c:pt>
                <c:pt idx="6">
                  <c:v>EX7</c:v>
                </c:pt>
                <c:pt idx="7">
                  <c:v>EX8</c:v>
                </c:pt>
              </c:strCache>
            </c:strRef>
          </c:cat>
          <c:val>
            <c:numRef>
              <c:f>Geral!$Q$23:$Q$30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75-4FE8-8F5B-C02EE69B1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3992960"/>
        <c:axId val="63994496"/>
      </c:barChart>
      <c:catAx>
        <c:axId val="639929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63994496"/>
        <c:crosses val="autoZero"/>
        <c:auto val="1"/>
        <c:lblAlgn val="ctr"/>
        <c:lblOffset val="100"/>
        <c:noMultiLvlLbl val="0"/>
      </c:catAx>
      <c:valAx>
        <c:axId val="63994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639929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78400429292929297"/>
          <c:y val="2.3291280864197534E-2"/>
          <c:w val="0.19983712121212122"/>
          <c:h val="0.120125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200"/>
              <a:t>Recebidos últimos</a:t>
            </a:r>
            <a:r>
              <a:rPr lang="pt-BR" sz="1200" baseline="0"/>
              <a:t> 3 meses + atual</a:t>
            </a:r>
            <a:endParaRPr lang="pt-BR" sz="1200"/>
          </a:p>
        </c:rich>
      </c:tx>
      <c:layout>
        <c:manualLayout>
          <c:xMode val="edge"/>
          <c:yMode val="edge"/>
          <c:x val="0.25007297979797982"/>
          <c:y val="5.4324404238501739E-3"/>
        </c:manualLayout>
      </c:layout>
      <c:overlay val="0"/>
    </c:title>
    <c:autoTitleDeleted val="0"/>
    <c:plotArea>
      <c:layout/>
      <c:barChart>
        <c:barDir val="col"/>
        <c:grouping val="percentStacked"/>
        <c:varyColors val="0"/>
        <c:ser>
          <c:idx val="3"/>
          <c:order val="0"/>
          <c:tx>
            <c:strRef>
              <c:f>Geral!$R$39</c:f>
              <c:strCache>
                <c:ptCount val="1"/>
                <c:pt idx="0">
                  <c:v>Nov-20</c:v>
                </c:pt>
              </c:strCache>
            </c:strRef>
          </c:tx>
          <c:invertIfNegative val="0"/>
          <c:cat>
            <c:strRef>
              <c:f>Geral!$N$40:$N$47</c:f>
              <c:strCache>
                <c:ptCount val="8"/>
                <c:pt idx="0">
                  <c:v>EX1</c:v>
                </c:pt>
                <c:pt idx="1">
                  <c:v>EX2</c:v>
                </c:pt>
                <c:pt idx="2">
                  <c:v>EX3</c:v>
                </c:pt>
                <c:pt idx="3">
                  <c:v>EX4</c:v>
                </c:pt>
                <c:pt idx="4">
                  <c:v>EX5</c:v>
                </c:pt>
                <c:pt idx="5">
                  <c:v>EX6</c:v>
                </c:pt>
                <c:pt idx="6">
                  <c:v>EX7</c:v>
                </c:pt>
                <c:pt idx="7">
                  <c:v>EX8</c:v>
                </c:pt>
              </c:strCache>
            </c:strRef>
          </c:cat>
          <c:val>
            <c:numRef>
              <c:f>Geral!$R$40:$R$47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7B-470F-98A4-E1FF34187570}"/>
            </c:ext>
          </c:extLst>
        </c:ser>
        <c:ser>
          <c:idx val="2"/>
          <c:order val="1"/>
          <c:tx>
            <c:strRef>
              <c:f>Geral!$Q$39</c:f>
              <c:strCache>
                <c:ptCount val="1"/>
                <c:pt idx="0">
                  <c:v>out-20</c:v>
                </c:pt>
              </c:strCache>
            </c:strRef>
          </c:tx>
          <c:invertIfNegative val="0"/>
          <c:cat>
            <c:strRef>
              <c:f>Geral!$N$40:$N$47</c:f>
              <c:strCache>
                <c:ptCount val="8"/>
                <c:pt idx="0">
                  <c:v>EX1</c:v>
                </c:pt>
                <c:pt idx="1">
                  <c:v>EX2</c:v>
                </c:pt>
                <c:pt idx="2">
                  <c:v>EX3</c:v>
                </c:pt>
                <c:pt idx="3">
                  <c:v>EX4</c:v>
                </c:pt>
                <c:pt idx="4">
                  <c:v>EX5</c:v>
                </c:pt>
                <c:pt idx="5">
                  <c:v>EX6</c:v>
                </c:pt>
                <c:pt idx="6">
                  <c:v>EX7</c:v>
                </c:pt>
                <c:pt idx="7">
                  <c:v>EX8</c:v>
                </c:pt>
              </c:strCache>
            </c:strRef>
          </c:cat>
          <c:val>
            <c:numRef>
              <c:f>Geral!$Q$40:$Q$47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7B-470F-98A4-E1FF34187570}"/>
            </c:ext>
          </c:extLst>
        </c:ser>
        <c:ser>
          <c:idx val="1"/>
          <c:order val="2"/>
          <c:tx>
            <c:strRef>
              <c:f>Geral!$P$39</c:f>
              <c:strCache>
                <c:ptCount val="1"/>
                <c:pt idx="0">
                  <c:v>set-20</c:v>
                </c:pt>
              </c:strCache>
            </c:strRef>
          </c:tx>
          <c:invertIfNegative val="0"/>
          <c:cat>
            <c:strRef>
              <c:f>Geral!$N$40:$N$47</c:f>
              <c:strCache>
                <c:ptCount val="8"/>
                <c:pt idx="0">
                  <c:v>EX1</c:v>
                </c:pt>
                <c:pt idx="1">
                  <c:v>EX2</c:v>
                </c:pt>
                <c:pt idx="2">
                  <c:v>EX3</c:v>
                </c:pt>
                <c:pt idx="3">
                  <c:v>EX4</c:v>
                </c:pt>
                <c:pt idx="4">
                  <c:v>EX5</c:v>
                </c:pt>
                <c:pt idx="5">
                  <c:v>EX6</c:v>
                </c:pt>
                <c:pt idx="6">
                  <c:v>EX7</c:v>
                </c:pt>
                <c:pt idx="7">
                  <c:v>EX8</c:v>
                </c:pt>
              </c:strCache>
            </c:strRef>
          </c:cat>
          <c:val>
            <c:numRef>
              <c:f>Geral!$P$40:$P$47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7B-470F-98A4-E1FF34187570}"/>
            </c:ext>
          </c:extLst>
        </c:ser>
        <c:ser>
          <c:idx val="0"/>
          <c:order val="3"/>
          <c:tx>
            <c:strRef>
              <c:f>Geral!$O$39</c:f>
              <c:strCache>
                <c:ptCount val="1"/>
                <c:pt idx="0">
                  <c:v>ago-20</c:v>
                </c:pt>
              </c:strCache>
            </c:strRef>
          </c:tx>
          <c:invertIfNegative val="0"/>
          <c:cat>
            <c:strRef>
              <c:f>Geral!$N$40:$N$47</c:f>
              <c:strCache>
                <c:ptCount val="8"/>
                <c:pt idx="0">
                  <c:v>EX1</c:v>
                </c:pt>
                <c:pt idx="1">
                  <c:v>EX2</c:v>
                </c:pt>
                <c:pt idx="2">
                  <c:v>EX3</c:v>
                </c:pt>
                <c:pt idx="3">
                  <c:v>EX4</c:v>
                </c:pt>
                <c:pt idx="4">
                  <c:v>EX5</c:v>
                </c:pt>
                <c:pt idx="5">
                  <c:v>EX6</c:v>
                </c:pt>
                <c:pt idx="6">
                  <c:v>EX7</c:v>
                </c:pt>
                <c:pt idx="7">
                  <c:v>EX8</c:v>
                </c:pt>
              </c:strCache>
            </c:strRef>
          </c:cat>
          <c:val>
            <c:numRef>
              <c:f>Geral!$O$40:$O$47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7B-470F-98A4-E1FF341875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64095744"/>
        <c:axId val="64097280"/>
      </c:barChart>
      <c:catAx>
        <c:axId val="64095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64097280"/>
        <c:crosses val="autoZero"/>
        <c:auto val="1"/>
        <c:lblAlgn val="ctr"/>
        <c:lblOffset val="100"/>
        <c:noMultiLvlLbl val="0"/>
      </c:catAx>
      <c:valAx>
        <c:axId val="64097280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640957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699267676767676"/>
          <c:y val="8.8367063492063497E-2"/>
          <c:w val="0.82886590909090907"/>
          <c:h val="8.2306349206349189E-2"/>
        </c:manualLayout>
      </c:layout>
      <c:overlay val="1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89645</xdr:colOff>
      <xdr:row>3</xdr:row>
      <xdr:rowOff>7816</xdr:rowOff>
    </xdr:from>
    <xdr:to>
      <xdr:col>11</xdr:col>
      <xdr:colOff>631851</xdr:colOff>
      <xdr:row>19</xdr:row>
      <xdr:rowOff>22463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78442</xdr:colOff>
      <xdr:row>37</xdr:row>
      <xdr:rowOff>0</xdr:rowOff>
    </xdr:from>
    <xdr:to>
      <xdr:col>11</xdr:col>
      <xdr:colOff>620648</xdr:colOff>
      <xdr:row>53</xdr:row>
      <xdr:rowOff>14647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89647</xdr:colOff>
      <xdr:row>20</xdr:row>
      <xdr:rowOff>11205</xdr:rowOff>
    </xdr:from>
    <xdr:to>
      <xdr:col>11</xdr:col>
      <xdr:colOff>631853</xdr:colOff>
      <xdr:row>36</xdr:row>
      <xdr:rowOff>25852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78441</xdr:colOff>
      <xdr:row>2</xdr:row>
      <xdr:rowOff>89646</xdr:rowOff>
    </xdr:from>
    <xdr:to>
      <xdr:col>23</xdr:col>
      <xdr:colOff>620647</xdr:colOff>
      <xdr:row>19</xdr:row>
      <xdr:rowOff>14646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78441</xdr:colOff>
      <xdr:row>20</xdr:row>
      <xdr:rowOff>11764</xdr:rowOff>
    </xdr:from>
    <xdr:to>
      <xdr:col>23</xdr:col>
      <xdr:colOff>620646</xdr:colOff>
      <xdr:row>36</xdr:row>
      <xdr:rowOff>26411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100852</xdr:colOff>
      <xdr:row>37</xdr:row>
      <xdr:rowOff>11205</xdr:rowOff>
    </xdr:from>
    <xdr:to>
      <xdr:col>23</xdr:col>
      <xdr:colOff>643057</xdr:colOff>
      <xdr:row>53</xdr:row>
      <xdr:rowOff>25852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818029</xdr:colOff>
      <xdr:row>0</xdr:row>
      <xdr:rowOff>1</xdr:rowOff>
    </xdr:from>
    <xdr:to>
      <xdr:col>5</xdr:col>
      <xdr:colOff>100853</xdr:colOff>
      <xdr:row>0</xdr:row>
      <xdr:rowOff>246529</xdr:rowOff>
    </xdr:to>
    <xdr:sp macro="[0]!ChamarLemebrete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017058" y="1"/>
          <a:ext cx="2106707" cy="24652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Lembrete</a:t>
          </a:r>
          <a:r>
            <a:rPr lang="pt-BR" sz="1100" baseline="0"/>
            <a:t> Semanal  de Pendentes</a:t>
          </a:r>
          <a:endParaRPr lang="pt-BR" sz="1100"/>
        </a:p>
      </xdr:txBody>
    </xdr:sp>
    <xdr:clientData/>
  </xdr:twoCellAnchor>
  <xdr:twoCellAnchor>
    <xdr:from>
      <xdr:col>0</xdr:col>
      <xdr:colOff>1</xdr:colOff>
      <xdr:row>0</xdr:row>
      <xdr:rowOff>0</xdr:rowOff>
    </xdr:from>
    <xdr:to>
      <xdr:col>2</xdr:col>
      <xdr:colOff>717177</xdr:colOff>
      <xdr:row>0</xdr:row>
      <xdr:rowOff>246529</xdr:rowOff>
    </xdr:to>
    <xdr:sp macro="[0]!ReporteEquipes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" y="0"/>
          <a:ext cx="1916205" cy="246529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Controle</a:t>
          </a:r>
          <a:r>
            <a:rPr lang="pt-BR" sz="1100" baseline="0"/>
            <a:t> de </a:t>
          </a:r>
          <a:r>
            <a:rPr lang="pt-BR" sz="1100"/>
            <a:t>Tickets Pendentes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Lista1" displayName="Lista1" ref="A3:N17" totalsRowShown="0" headerRowDxfId="21" dataDxfId="19" headerRowBorderDxfId="20" tableBorderDxfId="18">
  <autoFilter ref="A3:N17" xr:uid="{00000000-0009-0000-0100-000001000000}"/>
  <sortState xmlns:xlrd2="http://schemas.microsoft.com/office/spreadsheetml/2017/richdata2" ref="A4:Q10332">
    <sortCondition ref="C3:C10332"/>
  </sortState>
  <tableColumns count="14">
    <tableColumn id="2" xr3:uid="{00000000-0010-0000-0000-000002000000}" name="Ticket" dataDxfId="17"/>
    <tableColumn id="3" xr3:uid="{00000000-0010-0000-0000-000003000000}" name="Jogo" dataDxfId="16"/>
    <tableColumn id="15" xr3:uid="{00000000-0010-0000-0000-00000F000000}" name="Data Criação" dataDxfId="15"/>
    <tableColumn id="6" xr3:uid="{00000000-0010-0000-0000-000006000000}" name="Data Recebida" dataDxfId="14"/>
    <tableColumn id="9" xr3:uid="{00000000-0010-0000-0000-000009000000}" name=" Data Resp." dataDxfId="8"/>
    <tableColumn id="4" xr3:uid="{00000000-0010-0000-0000-000004000000}" name="Categoria" dataDxfId="7"/>
    <tableColumn id="1" xr3:uid="{00000000-0010-0000-0000-000001000000}" name="Descrição" dataDxfId="6"/>
    <tableColumn id="14" xr3:uid="{00000000-0010-0000-0000-00000E000000}" name="Resposta" dataDxfId="4"/>
    <tableColumn id="17" xr3:uid="{00000000-0010-0000-0000-000011000000}" name="Status" dataDxfId="5"/>
    <tableColumn id="8" xr3:uid="{00000000-0010-0000-0000-000008000000}" name="PD TKT" dataDxfId="13">
      <calculatedColumnFormula>IF(C4&gt;0, IF((OR(I4="PD",I4="SR")),(TODAY()-C4),IF(OR(I4="OK",I4="RS"),"-", "")), "")</calculatedColumnFormula>
    </tableColumn>
    <tableColumn id="7" xr3:uid="{00000000-0010-0000-0000-000007000000}" name="PD PR" dataDxfId="12">
      <calculatedColumnFormula>IF(D4&gt;0,IF((OR(I4="PD",I4="SR")),(TODAY()-D4),IF(OR(I4="OK",I4="RS"),"-", "")), "")</calculatedColumnFormula>
    </tableColumn>
    <tableColumn id="5" xr3:uid="{00000000-0010-0000-0000-000005000000}" name="RS" dataDxfId="11">
      <calculatedColumnFormula>IF(D4&gt;0,IF(I4="RS",(TODAY()-D4),IF(I4="OK","-", "")), "")</calculatedColumnFormula>
    </tableColumn>
    <tableColumn id="10" xr3:uid="{00000000-0010-0000-0000-00000A000000}" name="Info Adicional" dataDxfId="10"/>
    <tableColumn id="13" xr3:uid="{00000000-0010-0000-0000-00000D000000}" name="Tempo Resposta" dataDxfId="9">
      <calculatedColumnFormula>IF(OR(I4="SR",I4="PD"),K4,IF(OR(E4="-",D4="-"),"-",IF((E4),(E4-D4),"")))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ccs/DetailEditTicket.aspx?ticketId=123" TargetMode="External"/><Relationship Id="rId1" Type="http://schemas.openxmlformats.org/officeDocument/2006/relationships/hyperlink" Target="http://ccs/DetailEditTicket.aspx?ticketId=123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/>
  <dimension ref="A1:DP54"/>
  <sheetViews>
    <sheetView topLeftCell="A19" zoomScale="85" zoomScaleNormal="85" workbookViewId="0">
      <selection activeCell="O17" sqref="O17"/>
    </sheetView>
  </sheetViews>
  <sheetFormatPr defaultColWidth="9.109375" defaultRowHeight="13.2" x14ac:dyDescent="0.25"/>
  <cols>
    <col min="1" max="1" width="1.6640625" style="2" customWidth="1"/>
    <col min="2" max="2" width="11.6640625" style="2" customWidth="1"/>
    <col min="3" max="4" width="10.33203125" style="2" customWidth="1"/>
    <col min="5" max="5" width="11.5546875" style="2" customWidth="1"/>
    <col min="6" max="12" width="10.33203125" style="2" customWidth="1"/>
    <col min="13" max="13" width="0.88671875" style="2" customWidth="1"/>
    <col min="14" max="14" width="11.88671875" style="2" customWidth="1"/>
    <col min="15" max="16" width="10.33203125" style="2" customWidth="1"/>
    <col min="17" max="17" width="11.44140625" style="2" customWidth="1"/>
    <col min="18" max="23" width="10.33203125" style="2" customWidth="1"/>
    <col min="24" max="24" width="10.109375" style="20" customWidth="1"/>
    <col min="25" max="25" width="9.6640625" style="2" customWidth="1"/>
    <col min="26" max="16384" width="9.109375" style="2"/>
  </cols>
  <sheetData>
    <row r="1" spans="1:24" ht="2.25" customHeight="1" x14ac:dyDescent="0.25"/>
    <row r="2" spans="1:24" ht="18" customHeight="1" x14ac:dyDescent="0.25">
      <c r="A2" s="125" t="s">
        <v>25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 t="str">
        <f>CONCATENATE("Total Recebido: ",COUNTIFS('Tickets Recebidos'!$C:$C,"&gt;="&amp;0))</f>
        <v>Total Recebido: 2</v>
      </c>
      <c r="X2" s="113"/>
    </row>
    <row r="3" spans="1:24" ht="6.75" customHeight="1" x14ac:dyDescent="0.25">
      <c r="B3" s="14"/>
      <c r="X3" s="30"/>
    </row>
    <row r="4" spans="1:24" ht="18" customHeight="1" x14ac:dyDescent="0.25">
      <c r="B4" s="118" t="s">
        <v>35</v>
      </c>
      <c r="C4" s="119"/>
      <c r="D4" s="119"/>
      <c r="E4" s="119"/>
      <c r="F4" s="120"/>
      <c r="G4" s="14"/>
      <c r="H4" s="14"/>
      <c r="I4" s="14"/>
      <c r="J4" s="14"/>
      <c r="K4" s="14"/>
      <c r="L4" s="14"/>
      <c r="N4" s="118" t="s">
        <v>34</v>
      </c>
      <c r="O4" s="119"/>
      <c r="P4" s="119"/>
      <c r="Q4" s="119"/>
      <c r="R4" s="120"/>
    </row>
    <row r="5" spans="1:24" x14ac:dyDescent="0.25">
      <c r="B5" s="6" t="s">
        <v>0</v>
      </c>
      <c r="C5" s="3" t="s">
        <v>13</v>
      </c>
      <c r="D5" s="3" t="s">
        <v>14</v>
      </c>
      <c r="E5" s="4" t="s">
        <v>15</v>
      </c>
      <c r="F5" s="3" t="s">
        <v>2</v>
      </c>
      <c r="G5" s="14"/>
      <c r="H5" s="14"/>
      <c r="I5" s="14"/>
      <c r="J5" s="14"/>
      <c r="K5" s="14"/>
      <c r="L5" s="14"/>
      <c r="N5" s="6" t="s">
        <v>0</v>
      </c>
      <c r="O5" s="3" t="s">
        <v>13</v>
      </c>
      <c r="P5" s="3" t="s">
        <v>14</v>
      </c>
      <c r="Q5" s="4" t="s">
        <v>15</v>
      </c>
      <c r="R5" s="3" t="s">
        <v>2</v>
      </c>
    </row>
    <row r="6" spans="1:24" x14ac:dyDescent="0.25">
      <c r="B6" s="32" t="s">
        <v>50</v>
      </c>
      <c r="C6" s="33">
        <f ca="1">IF(B6="-", "-", COUNTIFS('Tickets Recebidos'!J:J,"&lt;=7",'Tickets Recebidos'!B:B,"="&amp;B6))</f>
        <v>0</v>
      </c>
      <c r="D6" s="33">
        <f ca="1">IF(B6="-","-",COUNTIFS('Tickets Recebidos'!J:J,"&lt;=14",'Tickets Recebidos'!J:J,"&gt;=8",'Tickets Recebidos'!B:B,"="&amp;B6))</f>
        <v>0</v>
      </c>
      <c r="E6" s="34">
        <f ca="1">IF(B6="-", "-", COUNTIFS('Tickets Recebidos'!J:J,"&gt;=15",'Tickets Recebidos'!B:B,"="&amp;B6))</f>
        <v>0</v>
      </c>
      <c r="F6" s="35">
        <f ca="1">IF(B6="-", "-", SUM(C6:E6))</f>
        <v>0</v>
      </c>
      <c r="G6" s="14"/>
      <c r="H6" s="14"/>
      <c r="I6" s="14"/>
      <c r="J6" s="14"/>
      <c r="K6" s="14"/>
      <c r="L6" s="14"/>
      <c r="N6" s="32" t="str">
        <f>B6</f>
        <v>EX1</v>
      </c>
      <c r="O6" s="33">
        <f ca="1">IF(B6="-", "-", COUNTIFS('Tickets Recebidos'!K:K,"&lt;=7",'Tickets Recebidos'!B:B,"="&amp;N6))</f>
        <v>0</v>
      </c>
      <c r="P6" s="33">
        <f ca="1">IF(B6="-", "-", COUNTIFS('Tickets Recebidos'!K:K,"&lt;=14",'Tickets Recebidos'!K:K,"&gt;=8",'Tickets Recebidos'!B:B,"="&amp;N6))</f>
        <v>0</v>
      </c>
      <c r="Q6" s="40">
        <f ca="1">IF(B6="-", "-", COUNTIFS('Tickets Recebidos'!K:K,"&gt;=15",'Tickets Recebidos'!B:B,"="&amp;N6))</f>
        <v>0</v>
      </c>
      <c r="R6" s="35">
        <f ca="1">IF(B6="-", "-", SUM(O6:Q6))</f>
        <v>0</v>
      </c>
    </row>
    <row r="7" spans="1:24" x14ac:dyDescent="0.25">
      <c r="B7" s="23" t="s">
        <v>51</v>
      </c>
      <c r="C7" s="5">
        <f ca="1">IF(B7="-", "-", COUNTIFS('Tickets Recebidos'!J:J,"&lt;=7",'Tickets Recebidos'!B:B,"="&amp;B7))</f>
        <v>0</v>
      </c>
      <c r="D7" s="5">
        <f ca="1">IF(B7="-","-",COUNTIFS('Tickets Recebidos'!J:J,"&lt;=14",'Tickets Recebidos'!J:J,"&gt;=8",'Tickets Recebidos'!B:B,"="&amp;B7))</f>
        <v>0</v>
      </c>
      <c r="E7" s="13">
        <f ca="1">IF(B7="-", "-", COUNTIFS('Tickets Recebidos'!J:J,"&gt;=15",'Tickets Recebidos'!B:B,"="&amp;B7))</f>
        <v>1</v>
      </c>
      <c r="F7" s="5">
        <f t="shared" ref="F7:F18" ca="1" si="0">IF(B7="-", "-", SUM(C7:E7))</f>
        <v>1</v>
      </c>
      <c r="G7" s="14"/>
      <c r="H7" s="14"/>
      <c r="I7" s="14"/>
      <c r="J7" s="14"/>
      <c r="K7" s="14"/>
      <c r="L7" s="14"/>
      <c r="N7" s="23" t="str">
        <f t="shared" ref="N7:N19" si="1">B7</f>
        <v>EX2</v>
      </c>
      <c r="O7" s="5">
        <f ca="1">IF(B7="-", "-", COUNTIFS('Tickets Recebidos'!K:K,"&lt;=7",'Tickets Recebidos'!B:B,"="&amp;N7))</f>
        <v>0</v>
      </c>
      <c r="P7" s="5">
        <f ca="1">IF(B7="-", "-", COUNTIFS('Tickets Recebidos'!K:K,"&lt;=14",'Tickets Recebidos'!K:K,"&gt;=8",'Tickets Recebidos'!B:B,"="&amp;N7))</f>
        <v>0</v>
      </c>
      <c r="Q7" s="13">
        <f ca="1">IF(B7="-", "-", COUNTIFS('Tickets Recebidos'!K:K,"&gt;=15",'Tickets Recebidos'!B:B,"="&amp;N7))</f>
        <v>1</v>
      </c>
      <c r="R7" s="5">
        <f t="shared" ref="R7:R18" ca="1" si="2">IF(B7="-", "-", SUM(O7:Q7))</f>
        <v>1</v>
      </c>
    </row>
    <row r="8" spans="1:24" x14ac:dyDescent="0.25">
      <c r="B8" s="32" t="s">
        <v>52</v>
      </c>
      <c r="C8" s="33">
        <f ca="1">IF(B8="-", "-", COUNTIFS('Tickets Recebidos'!J:J,"&lt;=7",'Tickets Recebidos'!B:B,"="&amp;B8))</f>
        <v>0</v>
      </c>
      <c r="D8" s="33">
        <f ca="1">IF(B8="-","-",COUNTIFS('Tickets Recebidos'!J:J,"&lt;=14",'Tickets Recebidos'!J:J,"&gt;=8",'Tickets Recebidos'!B:B,"="&amp;B8))</f>
        <v>0</v>
      </c>
      <c r="E8" s="34">
        <f ca="1">IF(B8="-", "-", COUNTIFS('Tickets Recebidos'!J:J,"&gt;=15",'Tickets Recebidos'!B:B,"="&amp;B8))</f>
        <v>0</v>
      </c>
      <c r="F8" s="33">
        <f t="shared" ca="1" si="0"/>
        <v>0</v>
      </c>
      <c r="G8" s="14"/>
      <c r="H8" s="14"/>
      <c r="I8" s="14"/>
      <c r="J8" s="14"/>
      <c r="K8" s="14"/>
      <c r="L8" s="14"/>
      <c r="N8" s="32" t="str">
        <f t="shared" si="1"/>
        <v>EX3</v>
      </c>
      <c r="O8" s="33">
        <f ca="1">IF(B8="-", "-", COUNTIFS('Tickets Recebidos'!K:K,"&lt;=7",'Tickets Recebidos'!B:B,"="&amp;N8))</f>
        <v>0</v>
      </c>
      <c r="P8" s="33">
        <f ca="1">IF(B8="-", "-", COUNTIFS('Tickets Recebidos'!K:K,"&lt;=14",'Tickets Recebidos'!K:K,"&gt;=8",'Tickets Recebidos'!B:B,"="&amp;N8))</f>
        <v>0</v>
      </c>
      <c r="Q8" s="34">
        <f ca="1">IF(B8="-", "-", COUNTIFS('Tickets Recebidos'!K:K,"&gt;=15",'Tickets Recebidos'!B:B,"="&amp;N8))</f>
        <v>0</v>
      </c>
      <c r="R8" s="33">
        <f t="shared" ca="1" si="2"/>
        <v>0</v>
      </c>
    </row>
    <row r="9" spans="1:24" x14ac:dyDescent="0.25">
      <c r="B9" s="23" t="s">
        <v>53</v>
      </c>
      <c r="C9" s="5">
        <f ca="1">IF(B9="-", "-", COUNTIFS('Tickets Recebidos'!J:J,"&lt;=7",'Tickets Recebidos'!B:B,"="&amp;B9))</f>
        <v>0</v>
      </c>
      <c r="D9" s="5">
        <f ca="1">IF(B9="-","-",COUNTIFS('Tickets Recebidos'!J:J,"&lt;=14",'Tickets Recebidos'!J:J,"&gt;=8",'Tickets Recebidos'!B:B,"="&amp;B9))</f>
        <v>0</v>
      </c>
      <c r="E9" s="13">
        <f ca="1">IF(B9="-", "-", COUNTIFS('Tickets Recebidos'!J:J,"&gt;=15",'Tickets Recebidos'!B:B,"="&amp;B9))</f>
        <v>0</v>
      </c>
      <c r="F9" s="5">
        <f t="shared" ca="1" si="0"/>
        <v>0</v>
      </c>
      <c r="G9" s="14"/>
      <c r="H9" s="14"/>
      <c r="I9" s="14"/>
      <c r="J9" s="14"/>
      <c r="K9" s="14"/>
      <c r="L9" s="14"/>
      <c r="N9" s="23" t="str">
        <f t="shared" si="1"/>
        <v>EX4</v>
      </c>
      <c r="O9" s="5">
        <f ca="1">IF(B9="-", "-", COUNTIFS('Tickets Recebidos'!K:K,"&lt;=7",'Tickets Recebidos'!B:B,"="&amp;N9))</f>
        <v>0</v>
      </c>
      <c r="P9" s="5">
        <f ca="1">IF(B9="-", "-", COUNTIFS('Tickets Recebidos'!K:K,"&lt;=14",'Tickets Recebidos'!K:K,"&gt;=8",'Tickets Recebidos'!B:B,"="&amp;N9))</f>
        <v>0</v>
      </c>
      <c r="Q9" s="13">
        <f ca="1">IF(B9="-", "-", COUNTIFS('Tickets Recebidos'!K:K,"&gt;=15",'Tickets Recebidos'!B:B,"="&amp;N9))</f>
        <v>0</v>
      </c>
      <c r="R9" s="5">
        <f t="shared" ca="1" si="2"/>
        <v>0</v>
      </c>
    </row>
    <row r="10" spans="1:24" x14ac:dyDescent="0.25">
      <c r="B10" s="32" t="s">
        <v>54</v>
      </c>
      <c r="C10" s="33">
        <f ca="1">IF(B10="-", "-", COUNTIFS('Tickets Recebidos'!J:J,"&lt;=7",'Tickets Recebidos'!B:B,"="&amp;B10))</f>
        <v>0</v>
      </c>
      <c r="D10" s="33">
        <f ca="1">IF(B10="-","-",COUNTIFS('Tickets Recebidos'!J:J,"&lt;=14",'Tickets Recebidos'!J:J,"&gt;=8",'Tickets Recebidos'!B:B,"="&amp;B10))</f>
        <v>0</v>
      </c>
      <c r="E10" s="34">
        <f ca="1">IF(B10="-", "-", COUNTIFS('Tickets Recebidos'!J:J,"&gt;=15",'Tickets Recebidos'!B:B,"="&amp;B10))</f>
        <v>0</v>
      </c>
      <c r="F10" s="33">
        <f t="shared" ca="1" si="0"/>
        <v>0</v>
      </c>
      <c r="G10" s="14"/>
      <c r="H10" s="14"/>
      <c r="I10" s="14"/>
      <c r="J10" s="14"/>
      <c r="K10" s="14"/>
      <c r="L10" s="14"/>
      <c r="N10" s="32" t="str">
        <f t="shared" si="1"/>
        <v>EX5</v>
      </c>
      <c r="O10" s="33">
        <f ca="1">IF(B10="-", "-", COUNTIFS('Tickets Recebidos'!K:K,"&lt;=7",'Tickets Recebidos'!B:B,"="&amp;N10))</f>
        <v>0</v>
      </c>
      <c r="P10" s="33">
        <f ca="1">IF(B10="-", "-", COUNTIFS('Tickets Recebidos'!K:K,"&lt;=14",'Tickets Recebidos'!K:K,"&gt;=8",'Tickets Recebidos'!B:B,"="&amp;N10))</f>
        <v>0</v>
      </c>
      <c r="Q10" s="34">
        <f ca="1">IF(B10="-", "-", COUNTIFS('Tickets Recebidos'!K:K,"&gt;=15",'Tickets Recebidos'!B:B,"="&amp;N10))</f>
        <v>0</v>
      </c>
      <c r="R10" s="33">
        <f t="shared" ca="1" si="2"/>
        <v>0</v>
      </c>
    </row>
    <row r="11" spans="1:24" x14ac:dyDescent="0.25">
      <c r="B11" s="23" t="s">
        <v>55</v>
      </c>
      <c r="C11" s="5">
        <f ca="1">IF(B11="-", "-", COUNTIFS('Tickets Recebidos'!J:J,"&lt;=7",'Tickets Recebidos'!B:B,"="&amp;B11))</f>
        <v>0</v>
      </c>
      <c r="D11" s="5">
        <f ca="1">IF(B11="-","-",COUNTIFS('Tickets Recebidos'!J:J,"&lt;=14",'Tickets Recebidos'!J:J,"&gt;=8",'Tickets Recebidos'!B:B,"="&amp;B11))</f>
        <v>0</v>
      </c>
      <c r="E11" s="13">
        <f ca="1">IF(B11="-", "-", COUNTIFS('Tickets Recebidos'!J:J,"&gt;=15",'Tickets Recebidos'!B:B,"="&amp;B11))</f>
        <v>0</v>
      </c>
      <c r="F11" s="5">
        <f t="shared" ca="1" si="0"/>
        <v>0</v>
      </c>
      <c r="G11" s="14"/>
      <c r="H11" s="14"/>
      <c r="I11" s="14"/>
      <c r="J11" s="14"/>
      <c r="K11" s="14"/>
      <c r="L11" s="14"/>
      <c r="N11" s="23" t="str">
        <f t="shared" si="1"/>
        <v>EX6</v>
      </c>
      <c r="O11" s="5">
        <f ca="1">IF(B11="-", "-", COUNTIFS('Tickets Recebidos'!K:K,"&lt;=7",'Tickets Recebidos'!B:B,"="&amp;N11))</f>
        <v>0</v>
      </c>
      <c r="P11" s="5">
        <f ca="1">IF(B11="-", "-", COUNTIFS('Tickets Recebidos'!K:K,"&lt;=14",'Tickets Recebidos'!K:K,"&gt;=8",'Tickets Recebidos'!B:B,"="&amp;N11))</f>
        <v>0</v>
      </c>
      <c r="Q11" s="13">
        <f ca="1">IF(B11="-", "-", COUNTIFS('Tickets Recebidos'!K:K,"&gt;=15",'Tickets Recebidos'!B:B,"="&amp;N11))</f>
        <v>0</v>
      </c>
      <c r="R11" s="5">
        <f t="shared" ca="1" si="2"/>
        <v>0</v>
      </c>
    </row>
    <row r="12" spans="1:24" x14ac:dyDescent="0.25">
      <c r="B12" s="32" t="s">
        <v>56</v>
      </c>
      <c r="C12" s="33">
        <f ca="1">IF(B12="-", "-", COUNTIFS('Tickets Recebidos'!J:J,"&lt;=7",'Tickets Recebidos'!B:B,"="&amp;B12))</f>
        <v>0</v>
      </c>
      <c r="D12" s="33">
        <f ca="1">IF(B12="-","-",COUNTIFS('Tickets Recebidos'!J:J,"&lt;=14",'Tickets Recebidos'!J:J,"&gt;=8",'Tickets Recebidos'!B:B,"="&amp;B12))</f>
        <v>0</v>
      </c>
      <c r="E12" s="34">
        <f ca="1">IF(B12="-", "-", COUNTIFS('Tickets Recebidos'!J:J,"&gt;=15",'Tickets Recebidos'!B:B,"="&amp;B12))</f>
        <v>0</v>
      </c>
      <c r="F12" s="33">
        <f t="shared" ca="1" si="0"/>
        <v>0</v>
      </c>
      <c r="G12" s="14"/>
      <c r="H12" s="14"/>
      <c r="I12" s="14"/>
      <c r="J12" s="14"/>
      <c r="K12" s="14"/>
      <c r="L12" s="14"/>
      <c r="N12" s="32" t="str">
        <f t="shared" si="1"/>
        <v>EX7</v>
      </c>
      <c r="O12" s="33">
        <f ca="1">IF(B12="-", "-", COUNTIFS('Tickets Recebidos'!K:K,"&lt;=7",'Tickets Recebidos'!B:B,"="&amp;N12))</f>
        <v>0</v>
      </c>
      <c r="P12" s="33">
        <f ca="1">IF(B12="-", "-", COUNTIFS('Tickets Recebidos'!K:K,"&lt;=14",'Tickets Recebidos'!K:K,"&gt;=8",'Tickets Recebidos'!B:B,"="&amp;N12))</f>
        <v>0</v>
      </c>
      <c r="Q12" s="34">
        <f ca="1">IF(B12="-", "-", COUNTIFS('Tickets Recebidos'!K:K,"&gt;=15",'Tickets Recebidos'!B:B,"="&amp;N12))</f>
        <v>0</v>
      </c>
      <c r="R12" s="33">
        <f t="shared" ca="1" si="2"/>
        <v>0</v>
      </c>
    </row>
    <row r="13" spans="1:24" x14ac:dyDescent="0.25">
      <c r="B13" s="23" t="s">
        <v>57</v>
      </c>
      <c r="C13" s="5">
        <f ca="1">IF(B13="-", "-", COUNTIFS('Tickets Recebidos'!J:J,"&lt;=7",'Tickets Recebidos'!B:B,"="&amp;B13))</f>
        <v>0</v>
      </c>
      <c r="D13" s="5">
        <f ca="1">IF(B13="-","-",COUNTIFS('Tickets Recebidos'!J:J,"&lt;=14",'Tickets Recebidos'!J:J,"&gt;=8",'Tickets Recebidos'!B:B,"="&amp;B13))</f>
        <v>0</v>
      </c>
      <c r="E13" s="13">
        <f ca="1">IF(B13="-", "-", COUNTIFS('Tickets Recebidos'!J:J,"&gt;=15",'Tickets Recebidos'!B:B,"="&amp;B13))</f>
        <v>0</v>
      </c>
      <c r="F13" s="5">
        <f t="shared" ca="1" si="0"/>
        <v>0</v>
      </c>
      <c r="G13" s="14"/>
      <c r="H13" s="14"/>
      <c r="I13" s="14"/>
      <c r="J13" s="14"/>
      <c r="K13" s="14"/>
      <c r="L13" s="14"/>
      <c r="N13" s="23" t="str">
        <f t="shared" si="1"/>
        <v>EX8</v>
      </c>
      <c r="O13" s="5">
        <f ca="1">IF(B13="-", "-", COUNTIFS('Tickets Recebidos'!K:K,"&lt;=7",'Tickets Recebidos'!B:B,"="&amp;N13))</f>
        <v>0</v>
      </c>
      <c r="P13" s="5">
        <f ca="1">IF(B13="-", "-", COUNTIFS('Tickets Recebidos'!K:K,"&lt;=14",'Tickets Recebidos'!K:K,"&gt;=8",'Tickets Recebidos'!B:B,"="&amp;N13))</f>
        <v>0</v>
      </c>
      <c r="Q13" s="13">
        <f ca="1">IF(B13="-", "-", COUNTIFS('Tickets Recebidos'!K:K,"&gt;=15",'Tickets Recebidos'!B:B,"="&amp;N13))</f>
        <v>0</v>
      </c>
      <c r="R13" s="5">
        <f t="shared" ca="1" si="2"/>
        <v>0</v>
      </c>
    </row>
    <row r="14" spans="1:24" x14ac:dyDescent="0.25">
      <c r="B14" s="32" t="s">
        <v>7</v>
      </c>
      <c r="C14" s="33" t="str">
        <f>IF(B14="-", "-", COUNTIFS('Tickets Recebidos'!J:J,"&lt;=7",'Tickets Recebidos'!B:B,"="&amp;B14))</f>
        <v>-</v>
      </c>
      <c r="D14" s="33" t="str">
        <f>IF(B14="-","-",COUNTIFS('Tickets Recebidos'!J:J,"&lt;=14",'Tickets Recebidos'!J:J,"&gt;=8",'Tickets Recebidos'!B:B,"="&amp;B14))</f>
        <v>-</v>
      </c>
      <c r="E14" s="34" t="str">
        <f>IF(B14="-", "-", COUNTIFS('Tickets Recebidos'!J:J,"&gt;=15",'Tickets Recebidos'!B:B,"="&amp;B14))</f>
        <v>-</v>
      </c>
      <c r="F14" s="33" t="str">
        <f t="shared" si="0"/>
        <v>-</v>
      </c>
      <c r="G14" s="14"/>
      <c r="H14" s="14"/>
      <c r="I14" s="14"/>
      <c r="J14" s="14"/>
      <c r="K14" s="14"/>
      <c r="L14" s="14"/>
      <c r="N14" s="32" t="str">
        <f t="shared" si="1"/>
        <v>-</v>
      </c>
      <c r="O14" s="33" t="str">
        <f>IF(B14="-", "-", COUNTIFS('Tickets Recebidos'!K:K,"&lt;=7",'Tickets Recebidos'!B:B,"="&amp;N14))</f>
        <v>-</v>
      </c>
      <c r="P14" s="33" t="str">
        <f>IF(B14="-", "-", COUNTIFS('Tickets Recebidos'!K:K,"&lt;=14",'Tickets Recebidos'!K:K,"&gt;=8",'Tickets Recebidos'!B:B,"="&amp;N14))</f>
        <v>-</v>
      </c>
      <c r="Q14" s="34" t="str">
        <f>IF(B14="-", "-", COUNTIFS('Tickets Recebidos'!K:K,"&gt;=15",'Tickets Recebidos'!B:B,"="&amp;N14))</f>
        <v>-</v>
      </c>
      <c r="R14" s="33" t="str">
        <f t="shared" si="2"/>
        <v>-</v>
      </c>
    </row>
    <row r="15" spans="1:24" x14ac:dyDescent="0.25">
      <c r="B15" s="23" t="s">
        <v>7</v>
      </c>
      <c r="C15" s="5" t="str">
        <f>IF(B15="-", "-", COUNTIFS('Tickets Recebidos'!J:J,"&lt;=7",'Tickets Recebidos'!B:B,"="&amp;B15))</f>
        <v>-</v>
      </c>
      <c r="D15" s="5" t="str">
        <f>IF(B15="-","-",COUNTIFS('Tickets Recebidos'!J:J,"&lt;=14",'Tickets Recebidos'!J:J,"&gt;=8",'Tickets Recebidos'!B:B,"="&amp;B15))</f>
        <v>-</v>
      </c>
      <c r="E15" s="5" t="str">
        <f>IF(B15="-", "-", COUNTIFS('Tickets Recebidos'!J:J,"&gt;=15",'Tickets Recebidos'!B:B,"="&amp;B15))</f>
        <v>-</v>
      </c>
      <c r="F15" s="5" t="str">
        <f t="shared" si="0"/>
        <v>-</v>
      </c>
      <c r="G15" s="14"/>
      <c r="H15" s="14"/>
      <c r="I15" s="14"/>
      <c r="J15" s="14"/>
      <c r="K15" s="14"/>
      <c r="L15" s="14"/>
      <c r="N15" s="23" t="str">
        <f>B15</f>
        <v>-</v>
      </c>
      <c r="O15" s="5" t="str">
        <f>IF(B15="-", "-", COUNTIFS('Tickets Recebidos'!K:K,"&lt;=7",'Tickets Recebidos'!B:B,"="&amp;N15))</f>
        <v>-</v>
      </c>
      <c r="P15" s="5" t="str">
        <f>IF(B15="-", "-", COUNTIFS('Tickets Recebidos'!K:K,"&lt;=14",'Tickets Recebidos'!K:K,"&gt;=8",'Tickets Recebidos'!B:B,"="&amp;N15))</f>
        <v>-</v>
      </c>
      <c r="Q15" s="5" t="str">
        <f>IF(B15="-", "-", COUNTIFS('Tickets Recebidos'!K:K,"&gt;=15",'Tickets Recebidos'!B:B,"="&amp;N15))</f>
        <v>-</v>
      </c>
      <c r="R15" s="5" t="str">
        <f t="shared" si="2"/>
        <v>-</v>
      </c>
    </row>
    <row r="16" spans="1:24" x14ac:dyDescent="0.25">
      <c r="B16" s="32" t="s">
        <v>7</v>
      </c>
      <c r="C16" s="33" t="str">
        <f>IF(B16="-", "-", COUNTIFS('Tickets Recebidos'!J:J,"&lt;=7",'Tickets Recebidos'!B:B,"="&amp;B16))</f>
        <v>-</v>
      </c>
      <c r="D16" s="33" t="str">
        <f>IF(B16="-","-",COUNTIFS('Tickets Recebidos'!J:J,"&lt;=14",'Tickets Recebidos'!J:J,"&gt;=8",'Tickets Recebidos'!B:B,"="&amp;B16))</f>
        <v>-</v>
      </c>
      <c r="E16" s="34" t="str">
        <f>IF(B16="-", "-", COUNTIFS('Tickets Recebidos'!J:J,"&gt;=15",'Tickets Recebidos'!B:B,"="&amp;B16))</f>
        <v>-</v>
      </c>
      <c r="F16" s="33" t="str">
        <f t="shared" si="0"/>
        <v>-</v>
      </c>
      <c r="G16" s="14"/>
      <c r="H16" s="14"/>
      <c r="I16" s="14"/>
      <c r="J16" s="14"/>
      <c r="K16" s="14"/>
      <c r="L16" s="14"/>
      <c r="N16" s="32" t="str">
        <f t="shared" si="1"/>
        <v>-</v>
      </c>
      <c r="O16" s="33" t="str">
        <f>IF(B16="-", "-", COUNTIFS('Tickets Recebidos'!K:K,"&lt;=7",'Tickets Recebidos'!B:B,"="&amp;N16))</f>
        <v>-</v>
      </c>
      <c r="P16" s="33" t="str">
        <f>IF(B16="-", "-", COUNTIFS('Tickets Recebidos'!K:K,"&lt;=14",'Tickets Recebidos'!K:K,"&gt;=8",'Tickets Recebidos'!B:B,"="&amp;N16))</f>
        <v>-</v>
      </c>
      <c r="Q16" s="34" t="str">
        <f>IF(B16="-", "-", COUNTIFS('Tickets Recebidos'!K:K,"&gt;=15",'Tickets Recebidos'!B:B,"="&amp;N16))</f>
        <v>-</v>
      </c>
      <c r="R16" s="33" t="str">
        <f t="shared" si="2"/>
        <v>-</v>
      </c>
    </row>
    <row r="17" spans="2:24" x14ac:dyDescent="0.25">
      <c r="B17" s="23" t="s">
        <v>7</v>
      </c>
      <c r="C17" s="5" t="str">
        <f>IF(B17="-", "-", COUNTIFS('Tickets Recebidos'!J:J,"&lt;=7",'Tickets Recebidos'!B:B,"="&amp;B17))</f>
        <v>-</v>
      </c>
      <c r="D17" s="5" t="str">
        <f>IF(B17="-","-",COUNTIFS('Tickets Recebidos'!J:J,"&lt;=14",'Tickets Recebidos'!J:J,"&gt;=8",'Tickets Recebidos'!B:B,"="&amp;B17))</f>
        <v>-</v>
      </c>
      <c r="E17" s="13" t="str">
        <f>IF(B17="-", "-", COUNTIFS('Tickets Recebidos'!J:J,"&gt;=15",'Tickets Recebidos'!B:B,"="&amp;B17))</f>
        <v>-</v>
      </c>
      <c r="F17" s="5" t="str">
        <f t="shared" si="0"/>
        <v>-</v>
      </c>
      <c r="G17" s="14"/>
      <c r="H17" s="14"/>
      <c r="I17" s="14"/>
      <c r="J17" s="14"/>
      <c r="K17" s="14"/>
      <c r="L17" s="14"/>
      <c r="N17" s="23" t="str">
        <f t="shared" si="1"/>
        <v>-</v>
      </c>
      <c r="O17" s="5" t="str">
        <f>IF(B17="-", "-", COUNTIFS('Tickets Recebidos'!K:K,"&lt;=7",'Tickets Recebidos'!B:B,"="&amp;N17))</f>
        <v>-</v>
      </c>
      <c r="P17" s="5" t="str">
        <f>IF(B17="-", "-", COUNTIFS('Tickets Recebidos'!K:K,"&lt;=14",'Tickets Recebidos'!K:K,"&gt;=8",'Tickets Recebidos'!B:B,"="&amp;N17))</f>
        <v>-</v>
      </c>
      <c r="Q17" s="13" t="str">
        <f>IF(B17="-", "-", COUNTIFS('Tickets Recebidos'!K:K,"&gt;=15",'Tickets Recebidos'!B:B,"="&amp;N17))</f>
        <v>-</v>
      </c>
      <c r="R17" s="5" t="str">
        <f t="shared" si="2"/>
        <v>-</v>
      </c>
    </row>
    <row r="18" spans="2:24" x14ac:dyDescent="0.25">
      <c r="B18" s="32" t="s">
        <v>7</v>
      </c>
      <c r="C18" s="33" t="str">
        <f>IF(B18="-", "-", COUNTIFS('Tickets Recebidos'!J:J,"&lt;=7",'Tickets Recebidos'!B:B,"="&amp;B18))</f>
        <v>-</v>
      </c>
      <c r="D18" s="33" t="str">
        <f>IF(B18="-","-",COUNTIFS('Tickets Recebidos'!J:J,"&lt;=14",'Tickets Recebidos'!J:J,"&gt;=8",'Tickets Recebidos'!B:B,"="&amp;B18))</f>
        <v>-</v>
      </c>
      <c r="E18" s="34" t="str">
        <f>IF(B18="-", "-", COUNTIFS('Tickets Recebidos'!J:J,"&gt;=15",'Tickets Recebidos'!B:B,"="&amp;B18))</f>
        <v>-</v>
      </c>
      <c r="F18" s="33" t="str">
        <f t="shared" si="0"/>
        <v>-</v>
      </c>
      <c r="G18" s="14"/>
      <c r="H18" s="14"/>
      <c r="I18" s="14"/>
      <c r="J18" s="14"/>
      <c r="K18" s="14"/>
      <c r="L18" s="14"/>
      <c r="N18" s="32" t="str">
        <f t="shared" si="1"/>
        <v>-</v>
      </c>
      <c r="O18" s="33" t="str">
        <f>IF(B18="-", "-", COUNTIFS('Tickets Recebidos'!K:K,"&lt;=7",'Tickets Recebidos'!B:B,"="&amp;N18))</f>
        <v>-</v>
      </c>
      <c r="P18" s="33" t="str">
        <f>IF(B18="-", "-", COUNTIFS('Tickets Recebidos'!K:K,"&lt;=14",'Tickets Recebidos'!K:K,"&gt;=8",'Tickets Recebidos'!B:B,"="&amp;N18))</f>
        <v>-</v>
      </c>
      <c r="Q18" s="34" t="str">
        <f>IF(B18="-", "-", COUNTIFS('Tickets Recebidos'!K:K,"&gt;=15",'Tickets Recebidos'!B:B,"="&amp;N18))</f>
        <v>-</v>
      </c>
      <c r="R18" s="33" t="str">
        <f t="shared" si="2"/>
        <v>-</v>
      </c>
    </row>
    <row r="19" spans="2:24" x14ac:dyDescent="0.25">
      <c r="B19" s="24" t="s">
        <v>2</v>
      </c>
      <c r="C19" s="25">
        <f ca="1">COUNTIFS('Tickets Recebidos'!J:J,"&lt;=7")</f>
        <v>0</v>
      </c>
      <c r="D19" s="25">
        <f ca="1">COUNTIFS('Tickets Recebidos'!J:J,"&lt;=14",'Tickets Recebidos'!J:J,"&gt;=8")</f>
        <v>0</v>
      </c>
      <c r="E19" s="65">
        <f ca="1">COUNTIFS('Tickets Recebidos'!J:J,"&gt;=15")</f>
        <v>1</v>
      </c>
      <c r="F19" s="25">
        <f t="shared" ref="F19" ca="1" si="3">SUM(C19:E19)</f>
        <v>1</v>
      </c>
      <c r="G19" s="14"/>
      <c r="H19" s="14"/>
      <c r="I19" s="14"/>
      <c r="J19" s="14"/>
      <c r="K19" s="14"/>
      <c r="L19" s="14"/>
      <c r="N19" s="24" t="str">
        <f t="shared" si="1"/>
        <v>Total</v>
      </c>
      <c r="O19" s="25">
        <f ca="1">COUNTIFS('Tickets Recebidos'!K:K,"&lt;=7")</f>
        <v>0</v>
      </c>
      <c r="P19" s="25">
        <f ca="1">COUNTIFS('Tickets Recebidos'!K:K,"&lt;=14",'Tickets Recebidos'!K:K,"&gt;=8")</f>
        <v>0</v>
      </c>
      <c r="Q19" s="65">
        <f ca="1">COUNTIFS('Tickets Recebidos'!K:K,"&gt;=15")</f>
        <v>1</v>
      </c>
      <c r="R19" s="25">
        <f ca="1">SUM(R6:R18)</f>
        <v>1</v>
      </c>
    </row>
    <row r="20" spans="2:24" ht="6.75" customHeight="1" x14ac:dyDescent="0.25">
      <c r="X20" s="21"/>
    </row>
    <row r="21" spans="2:24" ht="17.25" customHeight="1" x14ac:dyDescent="0.25">
      <c r="B21" s="125" t="s">
        <v>40</v>
      </c>
      <c r="C21" s="112"/>
      <c r="D21" s="112"/>
      <c r="E21" s="112"/>
      <c r="F21" s="113"/>
      <c r="N21" s="118" t="s">
        <v>44</v>
      </c>
      <c r="O21" s="119"/>
      <c r="P21" s="119"/>
      <c r="Q21" s="119"/>
      <c r="R21" s="120"/>
      <c r="S21" s="1"/>
      <c r="T21" s="1"/>
      <c r="U21" s="1"/>
      <c r="V21" s="1"/>
      <c r="W21" s="1"/>
      <c r="X21" s="21"/>
    </row>
    <row r="22" spans="2:24" ht="12" customHeight="1" x14ac:dyDescent="0.25">
      <c r="B22" s="66" t="s">
        <v>0</v>
      </c>
      <c r="C22" s="123" t="s">
        <v>39</v>
      </c>
      <c r="D22" s="124"/>
      <c r="E22" s="123" t="s">
        <v>38</v>
      </c>
      <c r="F22" s="128"/>
      <c r="H22" s="14"/>
      <c r="N22" s="64" t="s">
        <v>0</v>
      </c>
      <c r="O22" s="19" t="s">
        <v>19</v>
      </c>
      <c r="P22" s="60" t="str">
        <f ca="1">CONCATENATE("Receb. ",TEXT(TODAY(),"mmm"))</f>
        <v>Receb. Nov</v>
      </c>
      <c r="Q22" s="19" t="s">
        <v>43</v>
      </c>
      <c r="R22" s="19" t="s">
        <v>42</v>
      </c>
      <c r="S22" s="12"/>
      <c r="T22" s="1"/>
      <c r="U22" s="1"/>
      <c r="V22" s="1"/>
      <c r="W22" s="12"/>
      <c r="X22" s="21"/>
    </row>
    <row r="23" spans="2:24" ht="12" customHeight="1" x14ac:dyDescent="0.25">
      <c r="B23" s="36" t="str">
        <f t="shared" ref="B23:B35" si="4">B6</f>
        <v>EX1</v>
      </c>
      <c r="C23" s="121">
        <f t="array" aca="1" ref="C23" ca="1">IF(B6="-", "-", MAX(IF('Tickets Recebidos'!B:B=B23,'Tickets Recebidos'!J:J)))</f>
        <v>0</v>
      </c>
      <c r="D23" s="122"/>
      <c r="E23" s="126">
        <f t="array" aca="1" ref="E23" ca="1">IF(B6="-", "-", MAX(IF('Tickets Recebidos'!B:B=B23,'Tickets Recebidos'!K:K)))</f>
        <v>0</v>
      </c>
      <c r="F23" s="127"/>
      <c r="N23" s="51" t="str">
        <f>B6</f>
        <v>EX1</v>
      </c>
      <c r="O23" s="31">
        <f>IF(B6="-", "-", COUNTIFS('Tickets Recebidos'!B:B,"="&amp;N23))</f>
        <v>0</v>
      </c>
      <c r="P23" s="39">
        <f ca="1">IF(B6="-", "-", COUNTIFS('Tickets Recebidos'!$D:$D,"&gt;="&amp;$R$39,'Tickets Recebidos'!$D:$D,"&lt;"&amp;EDATE($R$39,1),'Tickets Recebidos'!$B:$B,"="&amp;N40))</f>
        <v>0</v>
      </c>
      <c r="Q23" s="43">
        <f ca="1">IF(B6="-", "-", COUNTIFS('Tickets Recebidos'!K:K,"&gt;=0",'Tickets Recebidos'!B:B,"="&amp;N23))</f>
        <v>0</v>
      </c>
      <c r="R23" s="43">
        <f>IF(B6="-", "-", COUNTIFS('Tickets Recebidos'!I:I,"=RS",'Tickets Recebidos'!B:B,"="&amp;N23))</f>
        <v>0</v>
      </c>
      <c r="S23" s="59"/>
      <c r="T23" s="55"/>
      <c r="U23" s="1"/>
      <c r="V23" s="1"/>
      <c r="W23" s="12"/>
      <c r="X23" s="21"/>
    </row>
    <row r="24" spans="2:24" ht="12" customHeight="1" x14ac:dyDescent="0.25">
      <c r="B24" s="26" t="str">
        <f t="shared" si="4"/>
        <v>EX2</v>
      </c>
      <c r="C24" s="110">
        <f t="array" aca="1" ref="C24" ca="1">IF(B7="-", "-", MAX(IF('Tickets Recebidos'!B:B=B24,'Tickets Recebidos'!J:J)))</f>
        <v>295</v>
      </c>
      <c r="D24" s="111"/>
      <c r="E24" s="104">
        <f t="array" aca="1" ref="E24" ca="1">IF(B7="-", "-", MAX(IF('Tickets Recebidos'!B:B=B24,'Tickets Recebidos'!K:K)))</f>
        <v>295</v>
      </c>
      <c r="F24" s="105"/>
      <c r="N24" s="50" t="str">
        <f t="shared" ref="N24:N36" si="5">B7</f>
        <v>EX2</v>
      </c>
      <c r="O24" s="18">
        <f>IF(B7="-", "-", COUNTIFS('Tickets Recebidos'!B:B,"="&amp;N24))</f>
        <v>2</v>
      </c>
      <c r="P24" s="18">
        <f ca="1">IF(B7="-", "-", COUNTIFS('Tickets Recebidos'!$D:$D,"&gt;="&amp;$R$39,'Tickets Recebidos'!$D:$D,"&lt;"&amp;EDATE($R$39,1),'Tickets Recebidos'!$B:$B,"="&amp;N41))</f>
        <v>0</v>
      </c>
      <c r="Q24" s="29">
        <f ca="1">IF(B7="-", "-", COUNTIFS('Tickets Recebidos'!K:K,"&gt;=0",'Tickets Recebidos'!B:B,"="&amp;N24))</f>
        <v>1</v>
      </c>
      <c r="R24" s="29">
        <f>IF(B7="-", "-", COUNTIFS('Tickets Recebidos'!I:I,"=RS",'Tickets Recebidos'!B:B,"="&amp;N24))</f>
        <v>0</v>
      </c>
      <c r="S24" s="59"/>
      <c r="T24" s="58"/>
      <c r="U24" s="1"/>
      <c r="V24" s="49"/>
      <c r="W24" s="12"/>
      <c r="X24" s="21"/>
    </row>
    <row r="25" spans="2:24" ht="12" customHeight="1" x14ac:dyDescent="0.25">
      <c r="B25" s="37" t="str">
        <f t="shared" si="4"/>
        <v>EX3</v>
      </c>
      <c r="C25" s="108">
        <f t="array" aca="1" ref="C25" ca="1">IF(B8="-", "-", MAX(IF('Tickets Recebidos'!B:B=B25,'Tickets Recebidos'!J:J)))</f>
        <v>0</v>
      </c>
      <c r="D25" s="109"/>
      <c r="E25" s="106">
        <f t="array" aca="1" ref="E25" ca="1">IF(B8="-", "-", MAX(IF('Tickets Recebidos'!B:B=B25,'Tickets Recebidos'!K:K)))</f>
        <v>0</v>
      </c>
      <c r="F25" s="107"/>
      <c r="N25" s="51" t="str">
        <f t="shared" si="5"/>
        <v>EX3</v>
      </c>
      <c r="O25" s="31">
        <f>IF(B8="-", "-", COUNTIFS('Tickets Recebidos'!B:B,"="&amp;N25))</f>
        <v>0</v>
      </c>
      <c r="P25" s="31">
        <f ca="1">IF(B8="-", "-", COUNTIFS('Tickets Recebidos'!$D:$D,"&gt;="&amp;$R$39,'Tickets Recebidos'!$D:$D,"&lt;"&amp;EDATE($R$39,1),'Tickets Recebidos'!$B:$B,"="&amp;N42))</f>
        <v>0</v>
      </c>
      <c r="Q25" s="43">
        <f ca="1">IF(B8="-", "-", COUNTIFS('Tickets Recebidos'!K:K,"&gt;=0",'Tickets Recebidos'!B:B,"="&amp;N25))</f>
        <v>0</v>
      </c>
      <c r="R25" s="43">
        <f>IF(B8="-", "-", COUNTIFS('Tickets Recebidos'!I:I,"=RS",'Tickets Recebidos'!B:B,"="&amp;N25))</f>
        <v>0</v>
      </c>
      <c r="S25" s="59"/>
      <c r="T25" s="58"/>
      <c r="U25" s="1"/>
      <c r="V25" s="49"/>
      <c r="W25" s="12"/>
      <c r="X25" s="21"/>
    </row>
    <row r="26" spans="2:24" ht="12" customHeight="1" x14ac:dyDescent="0.25">
      <c r="B26" s="26" t="str">
        <f t="shared" si="4"/>
        <v>EX4</v>
      </c>
      <c r="C26" s="110">
        <f t="array" aca="1" ref="C26" ca="1">IF(B9="-", "-", MAX(IF('Tickets Recebidos'!B:B=B26,'Tickets Recebidos'!J:J)))</f>
        <v>0</v>
      </c>
      <c r="D26" s="111"/>
      <c r="E26" s="104">
        <f t="array" aca="1" ref="E26" ca="1">IF(B9="-", "-", MAX(IF('Tickets Recebidos'!B:B=B26,'Tickets Recebidos'!K:K)))</f>
        <v>0</v>
      </c>
      <c r="F26" s="105"/>
      <c r="N26" s="50" t="str">
        <f t="shared" si="5"/>
        <v>EX4</v>
      </c>
      <c r="O26" s="18">
        <f>IF(B9="-", "-", COUNTIFS('Tickets Recebidos'!B:B,"="&amp;N26))</f>
        <v>0</v>
      </c>
      <c r="P26" s="18">
        <f ca="1">IF(B9="-", "-", COUNTIFS('Tickets Recebidos'!$D:$D,"&gt;="&amp;$R$39,'Tickets Recebidos'!$D:$D,"&lt;"&amp;EDATE($R$39,1),'Tickets Recebidos'!$B:$B,"="&amp;N43))</f>
        <v>0</v>
      </c>
      <c r="Q26" s="29">
        <f ca="1">IF(B9="-", "-", COUNTIFS('Tickets Recebidos'!K:K,"&gt;=0",'Tickets Recebidos'!B:B,"="&amp;N26))</f>
        <v>0</v>
      </c>
      <c r="R26" s="29">
        <f>IF(B9="-", "-", COUNTIFS('Tickets Recebidos'!I:I,"=RS",'Tickets Recebidos'!B:B,"="&amp;N26))</f>
        <v>0</v>
      </c>
      <c r="S26" s="59"/>
      <c r="T26" s="58"/>
      <c r="U26" s="1"/>
      <c r="V26" s="49"/>
      <c r="W26" s="12"/>
      <c r="X26" s="21"/>
    </row>
    <row r="27" spans="2:24" ht="12" customHeight="1" x14ac:dyDescent="0.25">
      <c r="B27" s="37" t="str">
        <f t="shared" si="4"/>
        <v>EX5</v>
      </c>
      <c r="C27" s="108">
        <f t="array" aca="1" ref="C27" ca="1">IF(B10="-", "-", MAX(IF('Tickets Recebidos'!B:B=B27,'Tickets Recebidos'!J:J)))</f>
        <v>0</v>
      </c>
      <c r="D27" s="109"/>
      <c r="E27" s="106">
        <f t="array" aca="1" ref="E27" ca="1">IF(B10="-", "-", MAX(IF('Tickets Recebidos'!B:B=B27,'Tickets Recebidos'!K:K)))</f>
        <v>0</v>
      </c>
      <c r="F27" s="107"/>
      <c r="N27" s="51" t="str">
        <f t="shared" si="5"/>
        <v>EX5</v>
      </c>
      <c r="O27" s="31">
        <f>IF(B10="-", "-", COUNTIFS('Tickets Recebidos'!B:B,"="&amp;N27))</f>
        <v>0</v>
      </c>
      <c r="P27" s="31">
        <f ca="1">IF(B10="-", "-", COUNTIFS('Tickets Recebidos'!$D:$D,"&gt;="&amp;$R$39,'Tickets Recebidos'!$D:$D,"&lt;"&amp;EDATE($R$39,1),'Tickets Recebidos'!$B:$B,"="&amp;N44))</f>
        <v>0</v>
      </c>
      <c r="Q27" s="43">
        <f ca="1">IF(B10="-", "-", COUNTIFS('Tickets Recebidos'!K:K,"&gt;=0",'Tickets Recebidos'!B:B,"="&amp;N27))</f>
        <v>0</v>
      </c>
      <c r="R27" s="43">
        <f>IF(B10="-", "-", COUNTIFS('Tickets Recebidos'!I:I,"=RS",'Tickets Recebidos'!B:B,"="&amp;N27))</f>
        <v>0</v>
      </c>
      <c r="S27" s="59"/>
      <c r="T27" s="58"/>
      <c r="U27" s="1"/>
      <c r="V27" s="49"/>
      <c r="W27" s="12"/>
      <c r="X27" s="21"/>
    </row>
    <row r="28" spans="2:24" ht="12" customHeight="1" x14ac:dyDescent="0.25">
      <c r="B28" s="26" t="str">
        <f t="shared" si="4"/>
        <v>EX6</v>
      </c>
      <c r="C28" s="110">
        <f t="array" aca="1" ref="C28" ca="1">IF(B11="-", "-", MAX(IF('Tickets Recebidos'!B:B=B28,'Tickets Recebidos'!J:J)))</f>
        <v>0</v>
      </c>
      <c r="D28" s="111"/>
      <c r="E28" s="104">
        <f t="array" aca="1" ref="E28" ca="1">IF(B11="-", "-", MAX(IF('Tickets Recebidos'!B:B=B28,'Tickets Recebidos'!K:K)))</f>
        <v>0</v>
      </c>
      <c r="F28" s="105"/>
      <c r="N28" s="50" t="str">
        <f t="shared" si="5"/>
        <v>EX6</v>
      </c>
      <c r="O28" s="18">
        <f>IF(B11="-", "-", COUNTIFS('Tickets Recebidos'!B:B,"="&amp;N28))</f>
        <v>0</v>
      </c>
      <c r="P28" s="18">
        <f ca="1">IF(B11="-", "-", COUNTIFS('Tickets Recebidos'!$D:$D,"&gt;="&amp;$R$39,'Tickets Recebidos'!$D:$D,"&lt;"&amp;EDATE($R$39,1),'Tickets Recebidos'!$B:$B,"="&amp;N45))</f>
        <v>0</v>
      </c>
      <c r="Q28" s="29">
        <f ca="1">IF(B11="-", "-", COUNTIFS('Tickets Recebidos'!K:K,"&gt;=0",'Tickets Recebidos'!B:B,"="&amp;N28))</f>
        <v>0</v>
      </c>
      <c r="R28" s="29">
        <f>IF(B11="-", "-", COUNTIFS('Tickets Recebidos'!I:I,"=RS",'Tickets Recebidos'!B:B,"="&amp;N28))</f>
        <v>0</v>
      </c>
      <c r="S28" s="59"/>
      <c r="T28" s="58"/>
      <c r="U28" s="1"/>
      <c r="V28" s="49"/>
      <c r="W28" s="12"/>
      <c r="X28" s="21"/>
    </row>
    <row r="29" spans="2:24" ht="12" customHeight="1" x14ac:dyDescent="0.25">
      <c r="B29" s="37" t="str">
        <f t="shared" si="4"/>
        <v>EX7</v>
      </c>
      <c r="C29" s="108">
        <f t="array" aca="1" ref="C29" ca="1">IF(B12="-", "-", MAX(IF('Tickets Recebidos'!B:B=B29,'Tickets Recebidos'!J:J)))</f>
        <v>0</v>
      </c>
      <c r="D29" s="109"/>
      <c r="E29" s="106">
        <f t="array" aca="1" ref="E29" ca="1">IF(B12="-", "-", MAX(IF('Tickets Recebidos'!B:B=B29,'Tickets Recebidos'!K:K)))</f>
        <v>0</v>
      </c>
      <c r="F29" s="107"/>
      <c r="N29" s="51" t="str">
        <f t="shared" si="5"/>
        <v>EX7</v>
      </c>
      <c r="O29" s="31">
        <f>IF(B12="-", "-", COUNTIFS('Tickets Recebidos'!B:B,"="&amp;N29))</f>
        <v>0</v>
      </c>
      <c r="P29" s="31">
        <f ca="1">IF(B12="-", "-", COUNTIFS('Tickets Recebidos'!$D:$D,"&gt;="&amp;$R$39,'Tickets Recebidos'!$D:$D,"&lt;"&amp;EDATE($R$39,1),'Tickets Recebidos'!$B:$B,"="&amp;N46))</f>
        <v>0</v>
      </c>
      <c r="Q29" s="43">
        <f ca="1">IF(B12="-", "-", COUNTIFS('Tickets Recebidos'!K:K,"&gt;=0",'Tickets Recebidos'!B:B,"="&amp;N29))</f>
        <v>0</v>
      </c>
      <c r="R29" s="43">
        <f>IF(B12="-", "-", COUNTIFS('Tickets Recebidos'!I:I,"=RS",'Tickets Recebidos'!B:B,"="&amp;N29))</f>
        <v>0</v>
      </c>
      <c r="S29" s="59"/>
      <c r="T29" s="58"/>
      <c r="U29" s="1"/>
      <c r="V29" s="49"/>
      <c r="W29" s="12"/>
      <c r="X29" s="21"/>
    </row>
    <row r="30" spans="2:24" ht="12" customHeight="1" x14ac:dyDescent="0.25">
      <c r="B30" s="26" t="str">
        <f t="shared" si="4"/>
        <v>EX8</v>
      </c>
      <c r="C30" s="110">
        <f t="array" aca="1" ref="C30" ca="1">IF(B13="-", "-", MAX(IF('Tickets Recebidos'!B:B=B30,'Tickets Recebidos'!J:J)))</f>
        <v>0</v>
      </c>
      <c r="D30" s="111"/>
      <c r="E30" s="104">
        <f t="array" aca="1" ref="E30" ca="1">IF(B13="-", "-", MAX(IF('Tickets Recebidos'!B:B=B30,'Tickets Recebidos'!K:K)))</f>
        <v>0</v>
      </c>
      <c r="F30" s="105"/>
      <c r="N30" s="50" t="str">
        <f t="shared" si="5"/>
        <v>EX8</v>
      </c>
      <c r="O30" s="18">
        <f>IF(B13="-", "-", COUNTIFS('Tickets Recebidos'!B:B,"="&amp;N30))</f>
        <v>0</v>
      </c>
      <c r="P30" s="18">
        <f ca="1">IF(B13="-", "-", COUNTIFS('Tickets Recebidos'!$D:$D,"&gt;="&amp;$R$39,'Tickets Recebidos'!$D:$D,"&lt;"&amp;EDATE($R$39,1),'Tickets Recebidos'!$B:$B,"="&amp;N47))</f>
        <v>0</v>
      </c>
      <c r="Q30" s="29">
        <f ca="1">IF(B13="-", "-", COUNTIFS('Tickets Recebidos'!K:K,"&gt;=0",'Tickets Recebidos'!B:B,"="&amp;N30))</f>
        <v>0</v>
      </c>
      <c r="R30" s="29">
        <f>IF(B13="-", "-", COUNTIFS('Tickets Recebidos'!I:I,"=RS",'Tickets Recebidos'!B:B,"="&amp;N30))</f>
        <v>0</v>
      </c>
      <c r="S30" s="59"/>
      <c r="T30" s="58"/>
      <c r="U30" s="1"/>
      <c r="V30" s="49"/>
      <c r="W30" s="12"/>
      <c r="X30" s="21"/>
    </row>
    <row r="31" spans="2:24" ht="12" customHeight="1" x14ac:dyDescent="0.25">
      <c r="B31" s="37" t="str">
        <f t="shared" si="4"/>
        <v>-</v>
      </c>
      <c r="C31" s="108" t="str">
        <f t="array" ref="C31">IF(B14="-", "-", MAX(IF('Tickets Recebidos'!B:B=B31,'Tickets Recebidos'!J:J)))</f>
        <v>-</v>
      </c>
      <c r="D31" s="109"/>
      <c r="E31" s="106" t="str">
        <f t="array" ref="E31">IF(B14="-", "-", MAX(IF('Tickets Recebidos'!B:B=B31,'Tickets Recebidos'!K:K)))</f>
        <v>-</v>
      </c>
      <c r="F31" s="107"/>
      <c r="N31" s="51" t="str">
        <f t="shared" si="5"/>
        <v>-</v>
      </c>
      <c r="O31" s="34" t="str">
        <f>IF(B14="-", "-", COUNTIFS('Tickets Recebidos'!B:B,"="&amp;N31))</f>
        <v>-</v>
      </c>
      <c r="P31" s="34" t="str">
        <f>IF(B14="-", "-", COUNTIFS('Tickets Recebidos'!$D:$D,"&gt;="&amp;$R$39,'Tickets Recebidos'!$D:$D,"&lt;"&amp;EDATE($R$39,1),'Tickets Recebidos'!$B:$B,"="&amp;N48))</f>
        <v>-</v>
      </c>
      <c r="Q31" s="34" t="str">
        <f>IF(B14="-", "-", COUNTIFS('Tickets Recebidos'!K:K,"&gt;=0",'Tickets Recebidos'!B:B,"="&amp;N31))</f>
        <v>-</v>
      </c>
      <c r="R31" s="33" t="str">
        <f>IF(B14="-", "-", COUNTIFS('Tickets Recebidos'!I:I,"=RS",'Tickets Recebidos'!B:B,"="&amp;N31))</f>
        <v>-</v>
      </c>
      <c r="S31" s="59"/>
      <c r="T31" s="58"/>
      <c r="U31" s="1"/>
      <c r="V31" s="49"/>
      <c r="W31" s="12"/>
      <c r="X31" s="21"/>
    </row>
    <row r="32" spans="2:24" ht="12" customHeight="1" x14ac:dyDescent="0.25">
      <c r="B32" s="26" t="str">
        <f t="shared" si="4"/>
        <v>-</v>
      </c>
      <c r="C32" s="110" t="str">
        <f t="array" ref="C32">IF(B15="-", "-", MAX(IF('Tickets Recebidos'!B:B=B32,'Tickets Recebidos'!J:J)))</f>
        <v>-</v>
      </c>
      <c r="D32" s="111"/>
      <c r="E32" s="104" t="str">
        <f t="array" ref="E32">IF(B15="-", "-", MAX(IF('Tickets Recebidos'!B:B=B32,'Tickets Recebidos'!K:K)))</f>
        <v>-</v>
      </c>
      <c r="F32" s="105"/>
      <c r="N32" s="50" t="str">
        <f t="shared" si="5"/>
        <v>-</v>
      </c>
      <c r="O32" s="5" t="str">
        <f>IF(B15="-", "-", COUNTIFS('Tickets Recebidos'!B:B,"="&amp;N32))</f>
        <v>-</v>
      </c>
      <c r="P32" s="5" t="str">
        <f>IF(B15="-", "-", COUNTIFS('Tickets Recebidos'!$D:$D,"&gt;="&amp;$R$39,'Tickets Recebidos'!$D:$D,"&lt;"&amp;EDATE($R$39,1),'Tickets Recebidos'!$B:$B,"="&amp;N49))</f>
        <v>-</v>
      </c>
      <c r="Q32" s="5" t="str">
        <f>IF(B15="-", "-", COUNTIFS('Tickets Recebidos'!K:K,"&gt;=0",'Tickets Recebidos'!B:B,"="&amp;N32))</f>
        <v>-</v>
      </c>
      <c r="R32" s="5" t="str">
        <f>IF(B15="-", "-", COUNTIFS('Tickets Recebidos'!I:I,"=RS",'Tickets Recebidos'!B:B,"="&amp;N32))</f>
        <v>-</v>
      </c>
      <c r="S32" s="59"/>
      <c r="T32" s="58"/>
      <c r="U32" s="1"/>
      <c r="V32" s="49"/>
      <c r="W32" s="12"/>
      <c r="X32" s="21"/>
    </row>
    <row r="33" spans="2:24" ht="12" customHeight="1" x14ac:dyDescent="0.25">
      <c r="B33" s="37" t="str">
        <f t="shared" si="4"/>
        <v>-</v>
      </c>
      <c r="C33" s="108" t="str">
        <f t="array" ref="C33">IF(B16="-", "-", MAX(IF('Tickets Recebidos'!B:B=B33,'Tickets Recebidos'!J:J)))</f>
        <v>-</v>
      </c>
      <c r="D33" s="109"/>
      <c r="E33" s="106" t="str">
        <f t="array" ref="E33">IF(B16="-", "-", MAX(IF('Tickets Recebidos'!B:B=B33,'Tickets Recebidos'!K:K)))</f>
        <v>-</v>
      </c>
      <c r="F33" s="107"/>
      <c r="N33" s="51" t="str">
        <f t="shared" si="5"/>
        <v>-</v>
      </c>
      <c r="O33" s="34" t="str">
        <f>IF(B16="-", "-", COUNTIFS('Tickets Recebidos'!B:B,"="&amp;N33))</f>
        <v>-</v>
      </c>
      <c r="P33" s="34" t="str">
        <f>IF(B16="-", "-", COUNTIFS('Tickets Recebidos'!$D:$D,"&gt;="&amp;$R$39,'Tickets Recebidos'!$D:$D,"&lt;"&amp;EDATE($R$39,1),'Tickets Recebidos'!$B:$B,"="&amp;N50))</f>
        <v>-</v>
      </c>
      <c r="Q33" s="34" t="str">
        <f>IF(B16="-", "-", COUNTIFS('Tickets Recebidos'!K:K,"&gt;=0",'Tickets Recebidos'!B:B,"="&amp;N33))</f>
        <v>-</v>
      </c>
      <c r="R33" s="33" t="str">
        <f>IF(B16="-", "-", COUNTIFS('Tickets Recebidos'!I:I,"=RS",'Tickets Recebidos'!B:B,"="&amp;N33))</f>
        <v>-</v>
      </c>
      <c r="S33" s="1"/>
      <c r="T33" s="1"/>
      <c r="U33" s="1"/>
      <c r="V33" s="1"/>
      <c r="W33" s="12"/>
      <c r="X33" s="21"/>
    </row>
    <row r="34" spans="2:24" ht="12" customHeight="1" x14ac:dyDescent="0.25">
      <c r="B34" s="26" t="str">
        <f t="shared" si="4"/>
        <v>-</v>
      </c>
      <c r="C34" s="110" t="str">
        <f t="array" ref="C34">IF(B17="-", "-", MAX(IF('Tickets Recebidos'!B:B=B34,'Tickets Recebidos'!J:J)))</f>
        <v>-</v>
      </c>
      <c r="D34" s="111"/>
      <c r="E34" s="104" t="str">
        <f t="array" ref="E34">IF(B17="-", "-", MAX(IF('Tickets Recebidos'!B:B=B34,'Tickets Recebidos'!K:K)))</f>
        <v>-</v>
      </c>
      <c r="F34" s="105"/>
      <c r="N34" s="50" t="str">
        <f t="shared" si="5"/>
        <v>-</v>
      </c>
      <c r="O34" s="5" t="str">
        <f>IF(B17="-", "-", COUNTIFS('Tickets Recebidos'!B:B,"="&amp;N34))</f>
        <v>-</v>
      </c>
      <c r="P34" s="5" t="str">
        <f>IF(B17="-", "-", COUNTIFS('Tickets Recebidos'!$D:$D,"&gt;="&amp;$R$39,'Tickets Recebidos'!$D:$D,"&lt;"&amp;EDATE($R$39,1),'Tickets Recebidos'!$B:$B,"="&amp;N51))</f>
        <v>-</v>
      </c>
      <c r="Q34" s="5" t="str">
        <f>IF(B17="-", "-", COUNTIFS('Tickets Recebidos'!K:K,"&gt;=0",'Tickets Recebidos'!B:B,"="&amp;N34))</f>
        <v>-</v>
      </c>
      <c r="R34" s="5" t="str">
        <f>IF(B17="-", "-", COUNTIFS('Tickets Recebidos'!I:I,"=RS",'Tickets Recebidos'!B:B,"="&amp;N34))</f>
        <v>-</v>
      </c>
      <c r="S34" s="1"/>
      <c r="T34" s="1"/>
      <c r="U34" s="1"/>
      <c r="V34" s="1"/>
      <c r="W34" s="12"/>
      <c r="X34" s="21"/>
    </row>
    <row r="35" spans="2:24" ht="12" customHeight="1" x14ac:dyDescent="0.25">
      <c r="B35" s="38" t="str">
        <f t="shared" si="4"/>
        <v>-</v>
      </c>
      <c r="C35" s="116" t="str">
        <f t="array" ref="C35">IF(B18="-", "-", MAX(IF('Tickets Recebidos'!B:B=B35,'Tickets Recebidos'!J:J)))</f>
        <v>-</v>
      </c>
      <c r="D35" s="117"/>
      <c r="E35" s="102" t="str">
        <f t="array" ref="E35">IF(B18="-", "-", MAX(IF('Tickets Recebidos'!B:B=B35,'Tickets Recebidos'!K:K)))</f>
        <v>-</v>
      </c>
      <c r="F35" s="103"/>
      <c r="N35" s="51" t="str">
        <f t="shared" si="5"/>
        <v>-</v>
      </c>
      <c r="O35" s="33" t="str">
        <f>IF(B18="-", "-", COUNTIFS('Tickets Recebidos'!B:B,"="&amp;N35))</f>
        <v>-</v>
      </c>
      <c r="P35" s="33" t="str">
        <f>IF(B18="-", "-", COUNTIFS('Tickets Recebidos'!$D:$D,"&gt;="&amp;$R$39,'Tickets Recebidos'!$D:$D,"&lt;"&amp;EDATE($R$39,1),'Tickets Recebidos'!$B:$B,"="&amp;N52))</f>
        <v>-</v>
      </c>
      <c r="Q35" s="33" t="str">
        <f>IF(B18="-", "-", COUNTIFS('Tickets Recebidos'!K:K,"&gt;=0",'Tickets Recebidos'!B:B,"="&amp;N35))</f>
        <v>-</v>
      </c>
      <c r="R35" s="33" t="str">
        <f>IF(B18="-", "-", COUNTIFS('Tickets Recebidos'!I:I,"=RS",'Tickets Recebidos'!B:B,"="&amp;N35))</f>
        <v>-</v>
      </c>
      <c r="S35" s="1"/>
      <c r="T35" s="1"/>
      <c r="U35" s="1"/>
      <c r="V35" s="1"/>
      <c r="W35" s="12"/>
      <c r="X35" s="21"/>
    </row>
    <row r="36" spans="2:24" ht="12" customHeight="1" x14ac:dyDescent="0.25">
      <c r="B36" s="53" t="s">
        <v>24</v>
      </c>
      <c r="C36" s="114">
        <f ca="1">MAX(C23:D35)</f>
        <v>295</v>
      </c>
      <c r="D36" s="115"/>
      <c r="E36" s="100">
        <f ca="1">MAX(E23:F35)</f>
        <v>295</v>
      </c>
      <c r="F36" s="101"/>
      <c r="N36" s="56" t="str">
        <f t="shared" si="5"/>
        <v>Total</v>
      </c>
      <c r="O36" s="28">
        <f>SUM(O23:O32)</f>
        <v>2</v>
      </c>
      <c r="P36" s="28">
        <f ca="1">SUM(P23:P32)</f>
        <v>0</v>
      </c>
      <c r="Q36" s="57">
        <f ca="1">SUM(Q23:Q32)</f>
        <v>1</v>
      </c>
      <c r="R36" s="57">
        <f>SUM(R23:R35)</f>
        <v>0</v>
      </c>
      <c r="S36" s="1"/>
      <c r="T36" s="1"/>
      <c r="U36" s="1"/>
      <c r="V36" s="12"/>
      <c r="W36" s="12"/>
      <c r="X36" s="21"/>
    </row>
    <row r="37" spans="2:24" ht="6.75" customHeight="1" x14ac:dyDescent="0.25">
      <c r="X37" s="21"/>
    </row>
    <row r="38" spans="2:24" ht="18" customHeight="1" x14ac:dyDescent="0.25">
      <c r="B38" s="125" t="s">
        <v>37</v>
      </c>
      <c r="C38" s="112"/>
      <c r="D38" s="112"/>
      <c r="E38" s="112"/>
      <c r="F38" s="113"/>
      <c r="N38" s="118" t="s">
        <v>45</v>
      </c>
      <c r="O38" s="119"/>
      <c r="P38" s="119"/>
      <c r="Q38" s="119"/>
      <c r="R38" s="120"/>
      <c r="S38" s="1"/>
    </row>
    <row r="39" spans="2:24" ht="12" customHeight="1" x14ac:dyDescent="0.25">
      <c r="B39" s="64" t="s">
        <v>16</v>
      </c>
      <c r="C39" s="146" t="s">
        <v>36</v>
      </c>
      <c r="D39" s="147"/>
      <c r="E39" s="146" t="s">
        <v>41</v>
      </c>
      <c r="F39" s="148"/>
      <c r="G39" s="1"/>
      <c r="N39" s="44" t="s">
        <v>0</v>
      </c>
      <c r="O39" s="48">
        <f ca="1">EDATE(P39,-1)</f>
        <v>44063</v>
      </c>
      <c r="P39" s="48">
        <f ca="1">EDATE(Q39,-1)</f>
        <v>44094</v>
      </c>
      <c r="Q39" s="48">
        <f ca="1">EDATE(R39,-1)</f>
        <v>44124</v>
      </c>
      <c r="R39" s="48" t="str">
        <f ca="1">TEXT(TODAY(),"mmm-yy")</f>
        <v>Nov-20</v>
      </c>
      <c r="S39" s="1"/>
      <c r="T39" s="15" t="s">
        <v>26</v>
      </c>
    </row>
    <row r="40" spans="2:24" ht="12" customHeight="1" x14ac:dyDescent="0.25">
      <c r="B40" s="52">
        <f t="shared" ref="B40:B50" ca="1" si="6">EDATE(B41,-1)</f>
        <v>43789</v>
      </c>
      <c r="C40" s="144" t="str">
        <f ca="1">IF((COUNTIFS('Tickets Recebidos'!$D:$D,"&gt;="&amp;B40,'Tickets Recebidos'!$D:$D,"&lt;"&amp;EDATE($B40,1)))=0,"-",(COUNTIFS('Tickets Recebidos'!$D:$D,"&gt;="&amp;$B40,'Tickets Recebidos'!$D:$D,"&lt;"&amp;EDATE($B40,1))))</f>
        <v>-</v>
      </c>
      <c r="D40" s="145"/>
      <c r="E40" s="149" t="s">
        <v>7</v>
      </c>
      <c r="F40" s="150"/>
      <c r="G40" s="1"/>
      <c r="N40" s="46" t="str">
        <f>B6</f>
        <v>EX1</v>
      </c>
      <c r="O40" s="41">
        <f ca="1">IF(B6="-", "-", COUNTIFS('Tickets Recebidos'!$D:$D,"&gt;="&amp;O$39,'Tickets Recebidos'!$D:$D,"&lt;"&amp;EDATE(O$39,1),'Tickets Recebidos'!$B:$B,"="&amp;N40))</f>
        <v>0</v>
      </c>
      <c r="P40" s="41">
        <f ca="1">IF(B6="-", "-", COUNTIFS('Tickets Recebidos'!$D:$D,"&gt;="&amp;P$39,'Tickets Recebidos'!$D:$D,"&lt;"&amp;EDATE(P$39,1),'Tickets Recebidos'!$B:$B,"="&amp;N40))</f>
        <v>0</v>
      </c>
      <c r="Q40" s="41">
        <f ca="1">IF(B6="-", "-", COUNTIFS('Tickets Recebidos'!$D:$D,"&gt;="&amp;$Q$39,'Tickets Recebidos'!$D:$D,"&lt;"&amp;EDATE($Q$39,1),'Tickets Recebidos'!$B:$B,"="&amp;N40))</f>
        <v>0</v>
      </c>
      <c r="R40" s="42">
        <f ca="1">IF(B6="-", "-", COUNTIFS('Tickets Recebidos'!$D:$D,"&gt;="&amp;$R$39,'Tickets Recebidos'!$D:$D,"&lt;"&amp;EDATE($R$39,1),'Tickets Recebidos'!$B:$B,"="&amp;N40))</f>
        <v>0</v>
      </c>
      <c r="S40" s="1"/>
      <c r="T40" s="16">
        <f ca="1">O40-P40</f>
        <v>0</v>
      </c>
    </row>
    <row r="41" spans="2:24" ht="12" customHeight="1" x14ac:dyDescent="0.25">
      <c r="B41" s="50">
        <f t="shared" ca="1" si="6"/>
        <v>43819</v>
      </c>
      <c r="C41" s="140">
        <f ca="1">IF((COUNTIFS('Tickets Recebidos'!$D:$D,"&gt;="&amp;B41,'Tickets Recebidos'!$D:$D,"&lt;"&amp;EDATE($B41,1)))=0,"-",(COUNTIFS('Tickets Recebidos'!$D:$D,"&gt;="&amp;$B41,'Tickets Recebidos'!$D:$D,"&lt;"&amp;EDATE($B41,1))))</f>
        <v>2</v>
      </c>
      <c r="D41" s="141"/>
      <c r="E41" s="133" t="str">
        <f ca="1">IF((IFERROR((C41/C40-1),"-"))="-","-",(C41/C40-1))</f>
        <v>-</v>
      </c>
      <c r="F41" s="134"/>
      <c r="G41" s="1"/>
      <c r="N41" s="45" t="str">
        <f t="shared" ref="N41:N53" si="7">B7</f>
        <v>EX2</v>
      </c>
      <c r="O41" s="17">
        <f ca="1">IF(B7="-", "-", COUNTIFS('Tickets Recebidos'!$D:$D,"&gt;="&amp;O$39,'Tickets Recebidos'!$D:$D,"&lt;"&amp;EDATE(O$39,1),'Tickets Recebidos'!$B:$B,"="&amp;N41))</f>
        <v>0</v>
      </c>
      <c r="P41" s="17">
        <f ca="1">IF(B7="-", "-", COUNTIFS('Tickets Recebidos'!$D:$D,"&gt;="&amp;P$39,'Tickets Recebidos'!$D:$D,"&lt;"&amp;EDATE(P$39,1),'Tickets Recebidos'!$B:$B,"="&amp;N41))</f>
        <v>0</v>
      </c>
      <c r="Q41" s="17">
        <f ca="1">IF(B7="-", "-", COUNTIFS('Tickets Recebidos'!$D:$D,"&gt;="&amp;$Q$39,'Tickets Recebidos'!$D:$D,"&lt;"&amp;EDATE($Q$39,1),'Tickets Recebidos'!$B:$B,"="&amp;N41))</f>
        <v>0</v>
      </c>
      <c r="R41" s="17">
        <f ca="1">IF(B7="-", "-", COUNTIFS('Tickets Recebidos'!$D:$D,"&gt;="&amp;$R$39,'Tickets Recebidos'!$D:$D,"&lt;"&amp;EDATE($R$39,1),'Tickets Recebidos'!$B:$B,"="&amp;N41))</f>
        <v>0</v>
      </c>
      <c r="S41" s="1"/>
      <c r="T41" s="16">
        <f t="shared" ref="T41:T47" ca="1" si="8">O41-P41</f>
        <v>0</v>
      </c>
    </row>
    <row r="42" spans="2:24" ht="12" customHeight="1" x14ac:dyDescent="0.25">
      <c r="B42" s="51">
        <f t="shared" ca="1" si="6"/>
        <v>43850</v>
      </c>
      <c r="C42" s="142" t="str">
        <f ca="1">IF((COUNTIFS('Tickets Recebidos'!$D:$D,"&gt;="&amp;B42,'Tickets Recebidos'!$D:$D,"&lt;"&amp;EDATE($B42,1)))=0,"-",(COUNTIFS('Tickets Recebidos'!$D:$D,"&gt;="&amp;$B42,'Tickets Recebidos'!$D:$D,"&lt;"&amp;EDATE($B42,1))))</f>
        <v>-</v>
      </c>
      <c r="D42" s="143"/>
      <c r="E42" s="135" t="str">
        <f t="shared" ref="E42:E51" ca="1" si="9">IF((IFERROR((C42/C41-1),"-"))="-","-",(C42/C41-1))</f>
        <v>-</v>
      </c>
      <c r="F42" s="136"/>
      <c r="G42" s="1"/>
      <c r="N42" s="46" t="str">
        <f t="shared" si="7"/>
        <v>EX3</v>
      </c>
      <c r="O42" s="33">
        <f ca="1">IF(B8="-", "-", COUNTIFS('Tickets Recebidos'!$D:$D,"&gt;="&amp;O$39,'Tickets Recebidos'!$D:$D,"&lt;"&amp;EDATE(O$39,1),'Tickets Recebidos'!$B:$B,"="&amp;N42))</f>
        <v>0</v>
      </c>
      <c r="P42" s="33">
        <f ca="1">IF(B8="-", "-", COUNTIFS('Tickets Recebidos'!$D:$D,"&gt;="&amp;P$39,'Tickets Recebidos'!$D:$D,"&lt;"&amp;EDATE(P$39,1),'Tickets Recebidos'!$B:$B,"="&amp;N42))</f>
        <v>0</v>
      </c>
      <c r="Q42" s="33">
        <f ca="1">IF(B8="-", "-", COUNTIFS('Tickets Recebidos'!$D:$D,"&gt;="&amp;$Q$39,'Tickets Recebidos'!$D:$D,"&lt;"&amp;EDATE($Q$39,1),'Tickets Recebidos'!$B:$B,"="&amp;N42))</f>
        <v>0</v>
      </c>
      <c r="R42" s="33">
        <f ca="1">IF(B8="-", "-", COUNTIFS('Tickets Recebidos'!$D:$D,"&gt;="&amp;$R$39,'Tickets Recebidos'!$D:$D,"&lt;"&amp;EDATE($R$39,1),'Tickets Recebidos'!$B:$B,"="&amp;N42))</f>
        <v>0</v>
      </c>
      <c r="S42" s="1"/>
      <c r="T42" s="16">
        <f t="shared" ca="1" si="8"/>
        <v>0</v>
      </c>
    </row>
    <row r="43" spans="2:24" ht="12" customHeight="1" x14ac:dyDescent="0.25">
      <c r="B43" s="50">
        <f t="shared" ca="1" si="6"/>
        <v>43881</v>
      </c>
      <c r="C43" s="140" t="str">
        <f ca="1">IF((COUNTIFS('Tickets Recebidos'!$D:$D,"&gt;="&amp;B43,'Tickets Recebidos'!$D:$D,"&lt;"&amp;EDATE($B43,1)))=0,"-",(COUNTIFS('Tickets Recebidos'!$D:$D,"&gt;="&amp;$B43,'Tickets Recebidos'!$D:$D,"&lt;"&amp;EDATE($B43,1))))</f>
        <v>-</v>
      </c>
      <c r="D43" s="141"/>
      <c r="E43" s="133" t="str">
        <f t="shared" ca="1" si="9"/>
        <v>-</v>
      </c>
      <c r="F43" s="134"/>
      <c r="G43" s="1"/>
      <c r="N43" s="45" t="str">
        <f t="shared" si="7"/>
        <v>EX4</v>
      </c>
      <c r="O43" s="5">
        <f ca="1">IF(B9="-", "-", COUNTIFS('Tickets Recebidos'!$D:$D,"&gt;="&amp;O$39,'Tickets Recebidos'!$D:$D,"&lt;"&amp;EDATE(O$39,1),'Tickets Recebidos'!$B:$B,"="&amp;N43))</f>
        <v>0</v>
      </c>
      <c r="P43" s="5">
        <f ca="1">IF(B9="-", "-", COUNTIFS('Tickets Recebidos'!$D:$D,"&gt;="&amp;P$39,'Tickets Recebidos'!$D:$D,"&lt;"&amp;EDATE(P$39,1),'Tickets Recebidos'!$B:$B,"="&amp;N43))</f>
        <v>0</v>
      </c>
      <c r="Q43" s="5">
        <f ca="1">IF(B9="-", "-", COUNTIFS('Tickets Recebidos'!$D:$D,"&gt;="&amp;$Q$39,'Tickets Recebidos'!$D:$D,"&lt;"&amp;EDATE($Q$39,1),'Tickets Recebidos'!$B:$B,"="&amp;N43))</f>
        <v>0</v>
      </c>
      <c r="R43" s="5">
        <f ca="1">IF(B9="-", "-", COUNTIFS('Tickets Recebidos'!$D:$D,"&gt;="&amp;$R$39,'Tickets Recebidos'!$D:$D,"&lt;"&amp;EDATE($R$39,1),'Tickets Recebidos'!$B:$B,"="&amp;N43))</f>
        <v>0</v>
      </c>
      <c r="S43" s="1"/>
      <c r="T43" s="16">
        <f t="shared" ca="1" si="8"/>
        <v>0</v>
      </c>
    </row>
    <row r="44" spans="2:24" ht="12" customHeight="1" x14ac:dyDescent="0.25">
      <c r="B44" s="51">
        <f t="shared" ca="1" si="6"/>
        <v>43910</v>
      </c>
      <c r="C44" s="142" t="str">
        <f ca="1">IF((COUNTIFS('Tickets Recebidos'!$D:$D,"&gt;="&amp;B44,'Tickets Recebidos'!$D:$D,"&lt;"&amp;EDATE($B44,1)))=0,"-",(COUNTIFS('Tickets Recebidos'!$D:$D,"&gt;="&amp;$B44,'Tickets Recebidos'!$D:$D,"&lt;"&amp;EDATE($B44,1))))</f>
        <v>-</v>
      </c>
      <c r="D44" s="143"/>
      <c r="E44" s="135" t="str">
        <f t="shared" ca="1" si="9"/>
        <v>-</v>
      </c>
      <c r="F44" s="136"/>
      <c r="G44" s="1"/>
      <c r="N44" s="46" t="str">
        <f t="shared" si="7"/>
        <v>EX5</v>
      </c>
      <c r="O44" s="33">
        <f ca="1">IF(B10="-", "-", COUNTIFS('Tickets Recebidos'!$D:$D,"&gt;="&amp;O$39,'Tickets Recebidos'!$D:$D,"&lt;"&amp;EDATE(O$39,1),'Tickets Recebidos'!$B:$B,"="&amp;N44))</f>
        <v>0</v>
      </c>
      <c r="P44" s="33">
        <f ca="1">IF(B10="-", "-", COUNTIFS('Tickets Recebidos'!$D:$D,"&gt;="&amp;P$39,'Tickets Recebidos'!$D:$D,"&lt;"&amp;EDATE(P$39,1),'Tickets Recebidos'!$B:$B,"="&amp;N44))</f>
        <v>0</v>
      </c>
      <c r="Q44" s="33">
        <f ca="1">IF(B10="-", "-", COUNTIFS('Tickets Recebidos'!$D:$D,"&gt;="&amp;$Q$39,'Tickets Recebidos'!$D:$D,"&lt;"&amp;EDATE($Q$39,1),'Tickets Recebidos'!$B:$B,"="&amp;N44))</f>
        <v>0</v>
      </c>
      <c r="R44" s="33">
        <f ca="1">IF(B10="-", "-", COUNTIFS('Tickets Recebidos'!$D:$D,"&gt;="&amp;$R$39,'Tickets Recebidos'!$D:$D,"&lt;"&amp;EDATE($R$39,1),'Tickets Recebidos'!$B:$B,"="&amp;N44))</f>
        <v>0</v>
      </c>
      <c r="S44" s="1"/>
      <c r="T44" s="16">
        <f t="shared" ca="1" si="8"/>
        <v>0</v>
      </c>
    </row>
    <row r="45" spans="2:24" ht="12" customHeight="1" x14ac:dyDescent="0.25">
      <c r="B45" s="50">
        <f t="shared" ca="1" si="6"/>
        <v>43941</v>
      </c>
      <c r="C45" s="140" t="str">
        <f ca="1">IF((COUNTIFS('Tickets Recebidos'!$D:$D,"&gt;="&amp;B45,'Tickets Recebidos'!$D:$D,"&lt;"&amp;EDATE($B45,1)))=0,"-",(COUNTIFS('Tickets Recebidos'!$D:$D,"&gt;="&amp;$B45,'Tickets Recebidos'!$D:$D,"&lt;"&amp;EDATE($B45,1))))</f>
        <v>-</v>
      </c>
      <c r="D45" s="141"/>
      <c r="E45" s="133" t="str">
        <f t="shared" ca="1" si="9"/>
        <v>-</v>
      </c>
      <c r="F45" s="134"/>
      <c r="G45" s="1"/>
      <c r="N45" s="45" t="str">
        <f t="shared" si="7"/>
        <v>EX6</v>
      </c>
      <c r="O45" s="5">
        <f ca="1">IF(B11="-", "-", COUNTIFS('Tickets Recebidos'!$D:$D,"&gt;="&amp;O$39,'Tickets Recebidos'!$D:$D,"&lt;"&amp;EDATE(O$39,1),'Tickets Recebidos'!$B:$B,"="&amp;N45))</f>
        <v>0</v>
      </c>
      <c r="P45" s="5">
        <f ca="1">IF(B11="-", "-", COUNTIFS('Tickets Recebidos'!$D:$D,"&gt;="&amp;P$39,'Tickets Recebidos'!$D:$D,"&lt;"&amp;EDATE(P$39,1),'Tickets Recebidos'!$B:$B,"="&amp;N45))</f>
        <v>0</v>
      </c>
      <c r="Q45" s="5">
        <f ca="1">IF(B11="-", "-", COUNTIFS('Tickets Recebidos'!$D:$D,"&gt;="&amp;$Q$39,'Tickets Recebidos'!$D:$D,"&lt;"&amp;EDATE($Q$39,1),'Tickets Recebidos'!$B:$B,"="&amp;N45))</f>
        <v>0</v>
      </c>
      <c r="R45" s="5">
        <f ca="1">IF(B11="-", "-", COUNTIFS('Tickets Recebidos'!$D:$D,"&gt;="&amp;$R$39,'Tickets Recebidos'!$D:$D,"&lt;"&amp;EDATE($R$39,1),'Tickets Recebidos'!$B:$B,"="&amp;N45))</f>
        <v>0</v>
      </c>
      <c r="S45" s="1"/>
      <c r="T45" s="16">
        <f t="shared" ca="1" si="8"/>
        <v>0</v>
      </c>
    </row>
    <row r="46" spans="2:24" ht="12" customHeight="1" x14ac:dyDescent="0.25">
      <c r="B46" s="51">
        <f t="shared" ca="1" si="6"/>
        <v>43971</v>
      </c>
      <c r="C46" s="142" t="str">
        <f ca="1">IF((COUNTIFS('Tickets Recebidos'!$D:$D,"&gt;="&amp;B46,'Tickets Recebidos'!$D:$D,"&lt;"&amp;EDATE($B46,1)))=0,"-",(COUNTIFS('Tickets Recebidos'!$D:$D,"&gt;="&amp;$B46,'Tickets Recebidos'!$D:$D,"&lt;"&amp;EDATE($B46,1))))</f>
        <v>-</v>
      </c>
      <c r="D46" s="143"/>
      <c r="E46" s="135" t="str">
        <f t="shared" ca="1" si="9"/>
        <v>-</v>
      </c>
      <c r="F46" s="136"/>
      <c r="G46" s="1"/>
      <c r="N46" s="46" t="str">
        <f t="shared" si="7"/>
        <v>EX7</v>
      </c>
      <c r="O46" s="33">
        <f ca="1">IF(B12="-", "-", COUNTIFS('Tickets Recebidos'!$D:$D,"&gt;="&amp;O$39,'Tickets Recebidos'!$D:$D,"&lt;"&amp;EDATE(O$39,1),'Tickets Recebidos'!$B:$B,"="&amp;N46))</f>
        <v>0</v>
      </c>
      <c r="P46" s="33">
        <f ca="1">IF(B12="-", "-", COUNTIFS('Tickets Recebidos'!$D:$D,"&gt;="&amp;P$39,'Tickets Recebidos'!$D:$D,"&lt;"&amp;EDATE(P$39,1),'Tickets Recebidos'!$B:$B,"="&amp;N46))</f>
        <v>0</v>
      </c>
      <c r="Q46" s="33">
        <f ca="1">IF(B12="-", "-", COUNTIFS('Tickets Recebidos'!$D:$D,"&gt;="&amp;$Q$39,'Tickets Recebidos'!$D:$D,"&lt;"&amp;EDATE($Q$39,1),'Tickets Recebidos'!$B:$B,"="&amp;N46))</f>
        <v>0</v>
      </c>
      <c r="R46" s="33">
        <f ca="1">IF(B12="-", "-", COUNTIFS('Tickets Recebidos'!$D:$D,"&gt;="&amp;$R$39,'Tickets Recebidos'!$D:$D,"&lt;"&amp;EDATE($R$39,1),'Tickets Recebidos'!$B:$B,"="&amp;N46))</f>
        <v>0</v>
      </c>
      <c r="S46" s="1"/>
      <c r="T46" s="16">
        <f t="shared" ca="1" si="8"/>
        <v>0</v>
      </c>
    </row>
    <row r="47" spans="2:24" ht="12" customHeight="1" x14ac:dyDescent="0.25">
      <c r="B47" s="50">
        <f t="shared" ca="1" si="6"/>
        <v>44002</v>
      </c>
      <c r="C47" s="140" t="str">
        <f ca="1">IF((COUNTIFS('Tickets Recebidos'!$D:$D,"&gt;="&amp;B47,'Tickets Recebidos'!$D:$D,"&lt;"&amp;EDATE($B47,1)))=0,"-",(COUNTIFS('Tickets Recebidos'!$D:$D,"&gt;="&amp;$B47,'Tickets Recebidos'!$D:$D,"&lt;"&amp;EDATE($B47,1))))</f>
        <v>-</v>
      </c>
      <c r="D47" s="141"/>
      <c r="E47" s="133" t="str">
        <f t="shared" ca="1" si="9"/>
        <v>-</v>
      </c>
      <c r="F47" s="134"/>
      <c r="G47" s="1"/>
      <c r="N47" s="45" t="str">
        <f t="shared" si="7"/>
        <v>EX8</v>
      </c>
      <c r="O47" s="5">
        <f ca="1">IF(B13="-", "-", COUNTIFS('Tickets Recebidos'!$D:$D,"&gt;="&amp;O$39,'Tickets Recebidos'!$D:$D,"&lt;"&amp;EDATE(O$39,1),'Tickets Recebidos'!$B:$B,"="&amp;N47))</f>
        <v>0</v>
      </c>
      <c r="P47" s="5">
        <f ca="1">IF(B13="-", "-", COUNTIFS('Tickets Recebidos'!$D:$D,"&gt;="&amp;P$39,'Tickets Recebidos'!$D:$D,"&lt;"&amp;EDATE(P$39,1),'Tickets Recebidos'!$B:$B,"="&amp;N47))</f>
        <v>0</v>
      </c>
      <c r="Q47" s="5">
        <f ca="1">IF(B13="-", "-", COUNTIFS('Tickets Recebidos'!$D:$D,"&gt;="&amp;$Q$39,'Tickets Recebidos'!$D:$D,"&lt;"&amp;EDATE($Q$39,1),'Tickets Recebidos'!$B:$B,"="&amp;N47))</f>
        <v>0</v>
      </c>
      <c r="R47" s="5">
        <f ca="1">IF(B13="-", "-", COUNTIFS('Tickets Recebidos'!$D:$D,"&gt;="&amp;$R$39,'Tickets Recebidos'!$D:$D,"&lt;"&amp;EDATE($R$39,1),'Tickets Recebidos'!$B:$B,"="&amp;N47))</f>
        <v>0</v>
      </c>
      <c r="S47" s="1"/>
      <c r="T47" s="16">
        <f t="shared" ca="1" si="8"/>
        <v>0</v>
      </c>
    </row>
    <row r="48" spans="2:24" ht="12" customHeight="1" x14ac:dyDescent="0.25">
      <c r="B48" s="51">
        <f t="shared" ca="1" si="6"/>
        <v>44032</v>
      </c>
      <c r="C48" s="142" t="str">
        <f ca="1">IF((COUNTIFS('Tickets Recebidos'!$D:$D,"&gt;="&amp;B48,'Tickets Recebidos'!$D:$D,"&lt;"&amp;EDATE($B48,1)))=0,"-",(COUNTIFS('Tickets Recebidos'!$D:$D,"&gt;="&amp;$B48,'Tickets Recebidos'!$D:$D,"&lt;"&amp;EDATE($B48,1))))</f>
        <v>-</v>
      </c>
      <c r="D48" s="143"/>
      <c r="E48" s="135" t="str">
        <f t="shared" ca="1" si="9"/>
        <v>-</v>
      </c>
      <c r="F48" s="136"/>
      <c r="G48" s="1"/>
      <c r="N48" s="46" t="str">
        <f t="shared" si="7"/>
        <v>-</v>
      </c>
      <c r="O48" s="33" t="str">
        <f>IF(B14="-", "-", COUNTIFS('Tickets Recebidos'!$D:$D,"&gt;="&amp;O$39,'Tickets Recebidos'!$D:$D,"&lt;"&amp;EDATE(O$39,1),'Tickets Recebidos'!$B:$B,"="&amp;N48))</f>
        <v>-</v>
      </c>
      <c r="P48" s="33" t="str">
        <f>IF(B14="-", "-", COUNTIFS('Tickets Recebidos'!$D:$D,"&gt;="&amp;P$39,'Tickets Recebidos'!$D:$D,"&lt;"&amp;EDATE(P$39,1),'Tickets Recebidos'!$B:$B,"="&amp;N48))</f>
        <v>-</v>
      </c>
      <c r="Q48" s="33" t="str">
        <f>IF(B14="-", "-", COUNTIFS('Tickets Recebidos'!$D:$D,"&gt;="&amp;$Q$39,'Tickets Recebidos'!$D:$D,"&lt;"&amp;EDATE($Q$39,1),'Tickets Recebidos'!$B:$B,"="&amp;N48))</f>
        <v>-</v>
      </c>
      <c r="R48" s="33" t="str">
        <f>IF(B14="-", "-", COUNTIFS('Tickets Recebidos'!$D:$D,"&gt;="&amp;$R$39,'Tickets Recebidos'!$D:$D,"&lt;"&amp;EDATE($R$39,1),'Tickets Recebidos'!$B:$B,"="&amp;N48))</f>
        <v>-</v>
      </c>
      <c r="S48" s="1"/>
      <c r="T48" s="16"/>
    </row>
    <row r="49" spans="1:120" ht="12" customHeight="1" x14ac:dyDescent="0.25">
      <c r="B49" s="50">
        <f t="shared" ca="1" si="6"/>
        <v>44063</v>
      </c>
      <c r="C49" s="140" t="str">
        <f ca="1">IF((COUNTIFS('Tickets Recebidos'!$D:$D,"&gt;="&amp;B49,'Tickets Recebidos'!$D:$D,"&lt;"&amp;EDATE($B49,1)))=0,"-",(COUNTIFS('Tickets Recebidos'!$D:$D,"&gt;="&amp;$B49,'Tickets Recebidos'!$D:$D,"&lt;"&amp;EDATE($B49,1))))</f>
        <v>-</v>
      </c>
      <c r="D49" s="141"/>
      <c r="E49" s="133" t="str">
        <f t="shared" ca="1" si="9"/>
        <v>-</v>
      </c>
      <c r="F49" s="134"/>
      <c r="G49" s="1"/>
      <c r="N49" s="45" t="str">
        <f t="shared" si="7"/>
        <v>-</v>
      </c>
      <c r="O49" s="45" t="str">
        <f>IF(B15="-", "-", COUNTIFS('Tickets Recebidos'!$D:$D,"&gt;="&amp;O$39,'Tickets Recebidos'!$D:$D,"&lt;"&amp;EDATE(O$39,1),'Tickets Recebidos'!$B:$B,"="&amp;N49))</f>
        <v>-</v>
      </c>
      <c r="P49" s="45" t="str">
        <f>IF(B15="-", "-", COUNTIFS('Tickets Recebidos'!$D:$D,"&gt;="&amp;P$39,'Tickets Recebidos'!$D:$D,"&lt;"&amp;EDATE(P$39,1),'Tickets Recebidos'!$B:$B,"="&amp;N49))</f>
        <v>-</v>
      </c>
      <c r="Q49" s="45" t="str">
        <f>IF(B15="-", "-", COUNTIFS('Tickets Recebidos'!$D:$D,"&gt;="&amp;$Q$39,'Tickets Recebidos'!$D:$D,"&lt;"&amp;EDATE($Q$39,1),'Tickets Recebidos'!$B:$B,"="&amp;N49))</f>
        <v>-</v>
      </c>
      <c r="R49" s="45" t="str">
        <f>IF(B15="-", "-", COUNTIFS('Tickets Recebidos'!$D:$D,"&gt;="&amp;$R$39,'Tickets Recebidos'!$D:$D,"&lt;"&amp;EDATE($R$39,1),'Tickets Recebidos'!$B:$B,"="&amp;N49))</f>
        <v>-</v>
      </c>
      <c r="S49" s="1"/>
      <c r="T49" s="16"/>
    </row>
    <row r="50" spans="1:120" ht="12" customHeight="1" x14ac:dyDescent="0.25">
      <c r="B50" s="51">
        <f t="shared" ca="1" si="6"/>
        <v>44094</v>
      </c>
      <c r="C50" s="142" t="str">
        <f ca="1">IF((COUNTIFS('Tickets Recebidos'!$D:$D,"&gt;="&amp;B50,'Tickets Recebidos'!$D:$D,"&lt;"&amp;EDATE($B50,1)))=0,"-",(COUNTIFS('Tickets Recebidos'!$D:$D,"&gt;="&amp;$B50,'Tickets Recebidos'!$D:$D,"&lt;"&amp;EDATE($B50,1))))</f>
        <v>-</v>
      </c>
      <c r="D50" s="143"/>
      <c r="E50" s="135" t="str">
        <f t="shared" ca="1" si="9"/>
        <v>-</v>
      </c>
      <c r="F50" s="136"/>
      <c r="G50" s="1"/>
      <c r="N50" s="47" t="str">
        <f t="shared" si="7"/>
        <v>-</v>
      </c>
      <c r="O50" s="47" t="str">
        <f>IF(B16="-", "-", COUNTIFS('Tickets Recebidos'!$D:$D,"&gt;="&amp;O$39,'Tickets Recebidos'!$D:$D,"&lt;"&amp;EDATE(O$39,1),'Tickets Recebidos'!$B:$B,"="&amp;N50))</f>
        <v>-</v>
      </c>
      <c r="P50" s="47" t="str">
        <f>IF(B16="-", "-", COUNTIFS('Tickets Recebidos'!$D:$D,"&gt;="&amp;P$39,'Tickets Recebidos'!$D:$D,"&lt;"&amp;EDATE(P$39,1),'Tickets Recebidos'!$B:$B,"="&amp;N50))</f>
        <v>-</v>
      </c>
      <c r="Q50" s="47" t="str">
        <f>IF(B16="-", "-", COUNTIFS('Tickets Recebidos'!$D:$D,"&gt;="&amp;$Q$39,'Tickets Recebidos'!$D:$D,"&lt;"&amp;EDATE($Q$39,1),'Tickets Recebidos'!$B:$B,"="&amp;N50))</f>
        <v>-</v>
      </c>
      <c r="R50" s="32" t="str">
        <f>IF(B16="-", "-", COUNTIFS('Tickets Recebidos'!$D:$D,"&gt;="&amp;$R$39,'Tickets Recebidos'!$D:$D,"&lt;"&amp;EDATE($R$39,1),'Tickets Recebidos'!$B:$B,"="&amp;N50))</f>
        <v>-</v>
      </c>
      <c r="S50" s="1"/>
      <c r="T50" s="16"/>
    </row>
    <row r="51" spans="1:120" ht="12" customHeight="1" x14ac:dyDescent="0.25">
      <c r="B51" s="50">
        <f ca="1">EDATE(B52,-1)</f>
        <v>44124</v>
      </c>
      <c r="C51" s="140" t="str">
        <f ca="1">IF((COUNTIFS('Tickets Recebidos'!$D:$D,"&gt;="&amp;B51,'Tickets Recebidos'!$D:$D,"&lt;"&amp;EDATE($B51,1)))=0,"-",(COUNTIFS('Tickets Recebidos'!$D:$D,"&gt;="&amp;$B51,'Tickets Recebidos'!$D:$D,"&lt;"&amp;EDATE($B51,1))))</f>
        <v>-</v>
      </c>
      <c r="D51" s="141"/>
      <c r="E51" s="133" t="str">
        <f t="shared" ca="1" si="9"/>
        <v>-</v>
      </c>
      <c r="F51" s="134"/>
      <c r="G51" s="1"/>
      <c r="N51" s="23" t="str">
        <f t="shared" si="7"/>
        <v>-</v>
      </c>
      <c r="O51" s="23" t="str">
        <f>IF(B17="-", "-", COUNTIFS('Tickets Recebidos'!$D:$D,"&gt;="&amp;O$39,'Tickets Recebidos'!$D:$D,"&lt;"&amp;EDATE(O$39,1),'Tickets Recebidos'!$B:$B,"="&amp;N51))</f>
        <v>-</v>
      </c>
      <c r="P51" s="23" t="str">
        <f>IF(B17="-", "-", COUNTIFS('Tickets Recebidos'!$D:$D,"&gt;="&amp;P$39,'Tickets Recebidos'!$D:$D,"&lt;"&amp;EDATE(P$39,1),'Tickets Recebidos'!$B:$B,"="&amp;N51))</f>
        <v>-</v>
      </c>
      <c r="Q51" s="23" t="str">
        <f>IF(B17="-", "-", COUNTIFS('Tickets Recebidos'!$D:$D,"&gt;="&amp;$Q$39,'Tickets Recebidos'!$D:$D,"&lt;"&amp;EDATE($Q$39,1),'Tickets Recebidos'!$B:$B,"="&amp;N51))</f>
        <v>-</v>
      </c>
      <c r="R51" s="23" t="str">
        <f>IF(B17="-", "-", COUNTIFS('Tickets Recebidos'!$D:$D,"&gt;="&amp;$R$39,'Tickets Recebidos'!$D:$D,"&lt;"&amp;EDATE($R$39,1),'Tickets Recebidos'!$B:$B,"="&amp;N51))</f>
        <v>-</v>
      </c>
      <c r="S51" s="1"/>
      <c r="T51" s="16"/>
    </row>
    <row r="52" spans="1:120" ht="12" customHeight="1" x14ac:dyDescent="0.25">
      <c r="B52" s="54" t="str">
        <f ca="1">TEXT(TODAY(),"mmm-yy")</f>
        <v>Nov-20</v>
      </c>
      <c r="C52" s="138" t="str">
        <f ca="1">IF((COUNTIFS('Tickets Recebidos'!$D:$D,"&gt;="&amp;B52,'Tickets Recebidos'!$D:$D,"&lt;"&amp;EDATE($B52,1)))=0,"-",(COUNTIFS('Tickets Recebidos'!$D:$D,"&gt;="&amp;$B52,'Tickets Recebidos'!$D:$D,"&lt;"&amp;EDATE($B52,1))))</f>
        <v>-</v>
      </c>
      <c r="D52" s="139"/>
      <c r="E52" s="131" t="s">
        <v>7</v>
      </c>
      <c r="F52" s="132"/>
      <c r="G52" s="1"/>
      <c r="N52" s="32" t="str">
        <f t="shared" si="7"/>
        <v>-</v>
      </c>
      <c r="O52" s="32" t="str">
        <f>IF(B18="-", "-", COUNTIFS('Tickets Recebidos'!$D:$D,"&gt;="&amp;O$39,'Tickets Recebidos'!$D:$D,"&lt;"&amp;EDATE(O$39,1),'Tickets Recebidos'!$B:$B,"="&amp;N52))</f>
        <v>-</v>
      </c>
      <c r="P52" s="32" t="str">
        <f>IF(B18="-", "-", COUNTIFS('Tickets Recebidos'!$D:$D,"&gt;="&amp;P$39,'Tickets Recebidos'!$D:$D,"&lt;"&amp;EDATE(P$39,1),'Tickets Recebidos'!$B:$B,"="&amp;N52))</f>
        <v>-</v>
      </c>
      <c r="Q52" s="32" t="str">
        <f>IF(B18="-", "-", COUNTIFS('Tickets Recebidos'!$D:$D,"&gt;="&amp;$Q$39,'Tickets Recebidos'!$D:$D,"&lt;"&amp;EDATE($Q$39,1),'Tickets Recebidos'!$B:$B,"="&amp;N52))</f>
        <v>-</v>
      </c>
      <c r="R52" s="32" t="str">
        <f>IF(B18="-", "-", COUNTIFS('Tickets Recebidos'!$D:$D,"&gt;="&amp;$R$39,'Tickets Recebidos'!$D:$D,"&lt;"&amp;EDATE($R$39,1),'Tickets Recebidos'!$B:$B,"="&amp;N52))</f>
        <v>-</v>
      </c>
      <c r="S52" s="1"/>
      <c r="T52" s="16"/>
    </row>
    <row r="53" spans="1:120" ht="12" customHeight="1" x14ac:dyDescent="0.25">
      <c r="B53" s="53" t="s">
        <v>2</v>
      </c>
      <c r="C53" s="114">
        <f>COUNTIFS('Tickets Recebidos'!$C:$C,"&gt;0")</f>
        <v>2</v>
      </c>
      <c r="D53" s="137"/>
      <c r="E53" s="129" t="s">
        <v>7</v>
      </c>
      <c r="F53" s="130"/>
      <c r="G53" s="1"/>
      <c r="N53" s="24" t="str">
        <f t="shared" si="7"/>
        <v>Total</v>
      </c>
      <c r="O53" s="27">
        <f ca="1">SUM(O40:O52)</f>
        <v>0</v>
      </c>
      <c r="P53" s="27">
        <f ca="1">SUM(P40:P52)</f>
        <v>0</v>
      </c>
      <c r="Q53" s="27">
        <f t="shared" ref="Q53:R53" ca="1" si="10">SUM(Q40:Q52)</f>
        <v>0</v>
      </c>
      <c r="R53" s="27">
        <f t="shared" ca="1" si="10"/>
        <v>0</v>
      </c>
      <c r="S53" s="1"/>
      <c r="T53" s="16"/>
    </row>
    <row r="54" spans="1:120" s="7" customFormat="1" ht="12" customHeight="1" x14ac:dyDescent="0.25">
      <c r="A54" s="2"/>
      <c r="B54" s="2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1"/>
      <c r="S54" s="1"/>
      <c r="T54" s="2"/>
      <c r="U54" s="2"/>
      <c r="V54" s="2"/>
      <c r="W54" s="2"/>
      <c r="X54" s="20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</row>
  </sheetData>
  <sheetProtection sort="0" autoFilter="0" pivotTables="0"/>
  <mergeCells count="68">
    <mergeCell ref="A2:V2"/>
    <mergeCell ref="N38:R38"/>
    <mergeCell ref="C43:D43"/>
    <mergeCell ref="C42:D42"/>
    <mergeCell ref="C41:D41"/>
    <mergeCell ref="C40:D40"/>
    <mergeCell ref="C39:D39"/>
    <mergeCell ref="E39:F39"/>
    <mergeCell ref="E43:F43"/>
    <mergeCell ref="E42:F42"/>
    <mergeCell ref="E41:F41"/>
    <mergeCell ref="E40:F40"/>
    <mergeCell ref="B38:F38"/>
    <mergeCell ref="C27:D27"/>
    <mergeCell ref="C26:D26"/>
    <mergeCell ref="C25:D25"/>
    <mergeCell ref="C48:D48"/>
    <mergeCell ref="C47:D47"/>
    <mergeCell ref="C44:D44"/>
    <mergeCell ref="C46:D46"/>
    <mergeCell ref="C45:D45"/>
    <mergeCell ref="E48:F48"/>
    <mergeCell ref="E47:F47"/>
    <mergeCell ref="E46:F46"/>
    <mergeCell ref="E45:F45"/>
    <mergeCell ref="E44:F44"/>
    <mergeCell ref="C53:D53"/>
    <mergeCell ref="C52:D52"/>
    <mergeCell ref="C51:D51"/>
    <mergeCell ref="C50:D50"/>
    <mergeCell ref="C49:D49"/>
    <mergeCell ref="E53:F53"/>
    <mergeCell ref="E52:F52"/>
    <mergeCell ref="E51:F51"/>
    <mergeCell ref="E50:F50"/>
    <mergeCell ref="E49:F49"/>
    <mergeCell ref="W2:X2"/>
    <mergeCell ref="C36:D36"/>
    <mergeCell ref="C35:D35"/>
    <mergeCell ref="C34:D34"/>
    <mergeCell ref="C33:D33"/>
    <mergeCell ref="C32:D32"/>
    <mergeCell ref="B4:F4"/>
    <mergeCell ref="N4:R4"/>
    <mergeCell ref="N21:R21"/>
    <mergeCell ref="C24:D24"/>
    <mergeCell ref="C23:D23"/>
    <mergeCell ref="C22:D22"/>
    <mergeCell ref="B21:F21"/>
    <mergeCell ref="E23:F23"/>
    <mergeCell ref="E22:F22"/>
    <mergeCell ref="C28:D28"/>
    <mergeCell ref="C31:D31"/>
    <mergeCell ref="C30:D30"/>
    <mergeCell ref="E24:F24"/>
    <mergeCell ref="E28:F28"/>
    <mergeCell ref="E26:F26"/>
    <mergeCell ref="E25:F25"/>
    <mergeCell ref="E27:F27"/>
    <mergeCell ref="C29:D29"/>
    <mergeCell ref="E36:F36"/>
    <mergeCell ref="E35:F35"/>
    <mergeCell ref="E34:F34"/>
    <mergeCell ref="E31:F31"/>
    <mergeCell ref="E29:F29"/>
    <mergeCell ref="E30:F30"/>
    <mergeCell ref="E33:F33"/>
    <mergeCell ref="E32:F32"/>
  </mergeCells>
  <phoneticPr fontId="30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/>
  <dimension ref="A1:CX17"/>
  <sheetViews>
    <sheetView zoomScale="85" zoomScaleNormal="85" workbookViewId="0">
      <pane ySplit="3" topLeftCell="A4" activePane="bottomLeft" state="frozen"/>
      <selection activeCell="P11" sqref="P11"/>
      <selection pane="bottomLeft" activeCell="F4" sqref="F4"/>
    </sheetView>
  </sheetViews>
  <sheetFormatPr defaultColWidth="9.109375" defaultRowHeight="17.25" customHeight="1" x14ac:dyDescent="0.2"/>
  <cols>
    <col min="1" max="1" width="12.6640625" style="68" customWidth="1"/>
    <col min="2" max="2" width="5.33203125" style="71" customWidth="1"/>
    <col min="3" max="5" width="14.109375" style="71" customWidth="1"/>
    <col min="6" max="6" width="19.109375" style="69" customWidth="1"/>
    <col min="7" max="7" width="48" style="70" customWidth="1"/>
    <col min="8" max="8" width="48" style="71" customWidth="1"/>
    <col min="9" max="9" width="11.6640625" style="72" bestFit="1" customWidth="1"/>
    <col min="10" max="10" width="12.44140625" style="67" bestFit="1" customWidth="1"/>
    <col min="11" max="11" width="10.44140625" style="67" customWidth="1"/>
    <col min="12" max="12" width="11.6640625" style="67" customWidth="1"/>
    <col min="13" max="13" width="14.21875" style="8" customWidth="1"/>
    <col min="14" max="14" width="11.6640625" style="67" customWidth="1"/>
    <col min="15" max="102" width="9.109375" style="8"/>
    <col min="103" max="16384" width="9.109375" style="11"/>
  </cols>
  <sheetData>
    <row r="1" spans="1:102" s="10" customFormat="1" ht="20.399999999999999" customHeight="1" x14ac:dyDescent="0.25">
      <c r="A1" s="151" t="s">
        <v>33</v>
      </c>
      <c r="B1" s="152"/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</row>
    <row r="2" spans="1:102" s="81" customFormat="1" ht="13.8" x14ac:dyDescent="0.25">
      <c r="A2" s="86" t="s">
        <v>48</v>
      </c>
      <c r="B2" s="87"/>
      <c r="C2" s="87"/>
      <c r="D2" s="87"/>
      <c r="E2" s="87"/>
      <c r="F2" s="88"/>
      <c r="G2" s="87"/>
      <c r="H2" s="87"/>
      <c r="I2" s="89"/>
      <c r="J2" s="90"/>
      <c r="K2" s="90"/>
      <c r="L2" s="90"/>
      <c r="M2" s="93"/>
      <c r="N2" s="80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  <c r="BH2" s="79"/>
      <c r="BI2" s="79"/>
      <c r="BJ2" s="79"/>
      <c r="BK2" s="79"/>
      <c r="BL2" s="79"/>
      <c r="BM2" s="79"/>
      <c r="BN2" s="79"/>
      <c r="BO2" s="79"/>
      <c r="BP2" s="79"/>
      <c r="BQ2" s="79"/>
      <c r="BR2" s="79"/>
      <c r="BS2" s="79"/>
      <c r="BT2" s="79"/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9"/>
      <c r="CO2" s="79"/>
      <c r="CP2" s="79"/>
      <c r="CQ2" s="79"/>
      <c r="CR2" s="79"/>
      <c r="CS2" s="79"/>
      <c r="CT2" s="79"/>
      <c r="CU2" s="79"/>
      <c r="CV2" s="79"/>
      <c r="CW2" s="79"/>
      <c r="CX2" s="79"/>
    </row>
    <row r="3" spans="1:102" s="85" customFormat="1" ht="17.25" customHeight="1" x14ac:dyDescent="0.25">
      <c r="A3" s="95" t="s">
        <v>1</v>
      </c>
      <c r="B3" s="96" t="s">
        <v>0</v>
      </c>
      <c r="C3" s="96" t="s">
        <v>12</v>
      </c>
      <c r="D3" s="96" t="s">
        <v>30</v>
      </c>
      <c r="E3" s="96" t="s">
        <v>31</v>
      </c>
      <c r="F3" s="97" t="s">
        <v>3</v>
      </c>
      <c r="G3" s="97" t="s">
        <v>4</v>
      </c>
      <c r="H3" s="96" t="s">
        <v>5</v>
      </c>
      <c r="I3" s="96" t="s">
        <v>32</v>
      </c>
      <c r="J3" s="82" t="s">
        <v>27</v>
      </c>
      <c r="K3" s="83" t="s">
        <v>28</v>
      </c>
      <c r="L3" s="83" t="s">
        <v>18</v>
      </c>
      <c r="M3" s="98" t="s">
        <v>17</v>
      </c>
      <c r="N3" s="83" t="s">
        <v>29</v>
      </c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84"/>
      <c r="AH3" s="84"/>
      <c r="AI3" s="84"/>
      <c r="AJ3" s="84"/>
      <c r="AK3" s="84"/>
      <c r="AL3" s="84"/>
      <c r="AM3" s="84"/>
      <c r="AN3" s="84"/>
      <c r="AO3" s="84"/>
      <c r="AP3" s="84"/>
      <c r="AQ3" s="84"/>
      <c r="AR3" s="84"/>
      <c r="AS3" s="84"/>
      <c r="AT3" s="84"/>
      <c r="AU3" s="84"/>
      <c r="AV3" s="84"/>
      <c r="AW3" s="84"/>
      <c r="AX3" s="84"/>
      <c r="AY3" s="84"/>
      <c r="AZ3" s="84"/>
      <c r="BA3" s="84"/>
      <c r="BB3" s="84"/>
      <c r="BC3" s="84"/>
      <c r="BD3" s="84"/>
      <c r="BE3" s="84"/>
      <c r="BF3" s="84"/>
      <c r="BG3" s="84"/>
      <c r="BH3" s="84"/>
      <c r="BI3" s="84"/>
      <c r="BJ3" s="84"/>
      <c r="BK3" s="84"/>
      <c r="BL3" s="84"/>
      <c r="BM3" s="84"/>
      <c r="BN3" s="84"/>
      <c r="BO3" s="84"/>
      <c r="BP3" s="84"/>
      <c r="BQ3" s="84"/>
      <c r="BR3" s="84"/>
      <c r="BS3" s="84"/>
      <c r="BT3" s="84"/>
      <c r="BU3" s="84"/>
      <c r="BV3" s="84"/>
      <c r="BW3" s="84"/>
      <c r="BX3" s="84"/>
      <c r="BY3" s="84"/>
      <c r="BZ3" s="84"/>
      <c r="CA3" s="84"/>
      <c r="CB3" s="84"/>
      <c r="CC3" s="84"/>
      <c r="CD3" s="84"/>
      <c r="CE3" s="84"/>
      <c r="CF3" s="84"/>
      <c r="CG3" s="84"/>
      <c r="CH3" s="84"/>
      <c r="CI3" s="84"/>
      <c r="CJ3" s="84"/>
      <c r="CK3" s="84"/>
      <c r="CL3" s="84"/>
      <c r="CM3" s="84"/>
      <c r="CN3" s="84"/>
      <c r="CO3" s="84"/>
      <c r="CP3" s="84"/>
      <c r="CQ3" s="84"/>
      <c r="CR3" s="84"/>
      <c r="CS3" s="84"/>
      <c r="CT3" s="84"/>
      <c r="CU3" s="84"/>
      <c r="CV3" s="84"/>
      <c r="CW3" s="84"/>
      <c r="CX3" s="84"/>
    </row>
    <row r="4" spans="1:102" s="85" customFormat="1" ht="17.25" customHeight="1" x14ac:dyDescent="0.25">
      <c r="A4" s="73" t="s">
        <v>60</v>
      </c>
      <c r="B4" s="94" t="s">
        <v>51</v>
      </c>
      <c r="C4" s="154">
        <v>43841</v>
      </c>
      <c r="D4" s="154">
        <v>43841</v>
      </c>
      <c r="E4" s="154">
        <v>43841</v>
      </c>
      <c r="F4" s="74" t="s">
        <v>22</v>
      </c>
      <c r="G4" s="155" t="s">
        <v>59</v>
      </c>
      <c r="H4" s="156" t="s">
        <v>59</v>
      </c>
      <c r="I4" s="75" t="s">
        <v>8</v>
      </c>
      <c r="J4" s="157" t="str">
        <f ca="1">IF(C4&gt;0, IF((OR(I4="PD",I4="SR")),(TODAY()-C4),IF(OR(I4="OK",I4="RS"),"-", "")), "")</f>
        <v>-</v>
      </c>
      <c r="K4" s="157" t="str">
        <f ca="1">IF(D4&gt;0,IF((OR(I4="PD",I4="SR")),(TODAY()-D4),IF(OR(I4="OK",I4="RS"),"-", "")), "")</f>
        <v>-</v>
      </c>
      <c r="L4" s="157" t="str">
        <f ca="1">IF(D4&gt;0,IF(I4="RS",(TODAY()-D4),IF(I4="OK","-", "")), "")</f>
        <v>-</v>
      </c>
      <c r="M4" s="158"/>
      <c r="N4" s="157">
        <f>IF(OR(I4="SR",I4="PD"),K4,IF(OR(E4="-",D4="-"),"-",IF((E4),(E4-D4),"")))</f>
        <v>0</v>
      </c>
      <c r="O4" s="153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84"/>
      <c r="BD4" s="84"/>
      <c r="BE4" s="84"/>
      <c r="BF4" s="84"/>
      <c r="BG4" s="84"/>
      <c r="BH4" s="84"/>
      <c r="BI4" s="84"/>
      <c r="BJ4" s="84"/>
      <c r="BK4" s="84"/>
      <c r="BL4" s="84"/>
      <c r="BM4" s="84"/>
      <c r="BN4" s="84"/>
      <c r="BO4" s="84"/>
      <c r="BP4" s="84"/>
      <c r="BQ4" s="84"/>
      <c r="BR4" s="84"/>
      <c r="BS4" s="84"/>
      <c r="BT4" s="84"/>
      <c r="BU4" s="84"/>
      <c r="BV4" s="84"/>
      <c r="BW4" s="84"/>
      <c r="BX4" s="84"/>
      <c r="BY4" s="84"/>
      <c r="BZ4" s="84"/>
      <c r="CA4" s="84"/>
      <c r="CB4" s="84"/>
      <c r="CC4" s="84"/>
      <c r="CD4" s="84"/>
      <c r="CE4" s="84"/>
      <c r="CF4" s="84"/>
      <c r="CG4" s="84"/>
      <c r="CH4" s="84"/>
      <c r="CI4" s="84"/>
      <c r="CJ4" s="84"/>
      <c r="CK4" s="84"/>
      <c r="CL4" s="84"/>
      <c r="CM4" s="84"/>
      <c r="CN4" s="84"/>
      <c r="CO4" s="84"/>
      <c r="CP4" s="84"/>
      <c r="CQ4" s="84"/>
      <c r="CR4" s="84"/>
      <c r="CS4" s="84"/>
      <c r="CT4" s="84"/>
      <c r="CU4" s="84"/>
      <c r="CV4" s="84"/>
      <c r="CW4" s="84"/>
      <c r="CX4" s="84"/>
    </row>
    <row r="5" spans="1:102" s="85" customFormat="1" ht="17.25" customHeight="1" x14ac:dyDescent="0.25">
      <c r="A5" s="73" t="s">
        <v>58</v>
      </c>
      <c r="B5" s="94" t="s">
        <v>51</v>
      </c>
      <c r="C5" s="154">
        <v>43841</v>
      </c>
      <c r="D5" s="154">
        <v>43841</v>
      </c>
      <c r="E5" s="154"/>
      <c r="F5" s="160" t="s">
        <v>22</v>
      </c>
      <c r="G5" s="155" t="s">
        <v>59</v>
      </c>
      <c r="H5" s="156" t="s">
        <v>59</v>
      </c>
      <c r="I5" s="156" t="s">
        <v>9</v>
      </c>
      <c r="J5" s="157">
        <v>295</v>
      </c>
      <c r="K5" s="157">
        <v>295</v>
      </c>
      <c r="L5" s="157" t="s">
        <v>61</v>
      </c>
      <c r="M5" s="158"/>
      <c r="N5" s="157">
        <f t="shared" ref="N5:N10" si="0">IF(OR(I5="SR",I5="PD"),K5,IF(OR(E5="-",D5="-"),"-",IF((E5),(E5-D5),"")))</f>
        <v>295</v>
      </c>
      <c r="O5" s="153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84"/>
      <c r="AP5" s="84"/>
      <c r="AQ5" s="84"/>
      <c r="AR5" s="84"/>
      <c r="AS5" s="84"/>
      <c r="AT5" s="84"/>
      <c r="AU5" s="84"/>
      <c r="AV5" s="84"/>
      <c r="AW5" s="84"/>
      <c r="AX5" s="84"/>
      <c r="AY5" s="84"/>
      <c r="AZ5" s="84"/>
      <c r="BA5" s="84"/>
      <c r="BB5" s="84"/>
      <c r="BC5" s="84"/>
      <c r="BD5" s="84"/>
      <c r="BE5" s="84"/>
      <c r="BF5" s="84"/>
      <c r="BG5" s="84"/>
      <c r="BH5" s="84"/>
      <c r="BI5" s="84"/>
      <c r="BJ5" s="84"/>
      <c r="BK5" s="84"/>
      <c r="BL5" s="84"/>
      <c r="BM5" s="84"/>
      <c r="BN5" s="84"/>
      <c r="BO5" s="84"/>
      <c r="BP5" s="84"/>
      <c r="BQ5" s="84"/>
      <c r="BR5" s="84"/>
      <c r="BS5" s="84"/>
      <c r="BT5" s="84"/>
      <c r="BU5" s="84"/>
      <c r="BV5" s="84"/>
      <c r="BW5" s="84"/>
      <c r="BX5" s="84"/>
      <c r="BY5" s="84"/>
      <c r="BZ5" s="84"/>
      <c r="CA5" s="84"/>
      <c r="CB5" s="84"/>
      <c r="CC5" s="84"/>
      <c r="CD5" s="84"/>
      <c r="CE5" s="84"/>
      <c r="CF5" s="84"/>
      <c r="CG5" s="84"/>
      <c r="CH5" s="84"/>
      <c r="CI5" s="84"/>
      <c r="CJ5" s="84"/>
      <c r="CK5" s="84"/>
      <c r="CL5" s="84"/>
      <c r="CM5" s="84"/>
      <c r="CN5" s="84"/>
      <c r="CO5" s="84"/>
      <c r="CP5" s="84"/>
      <c r="CQ5" s="84"/>
      <c r="CR5" s="84"/>
      <c r="CS5" s="84"/>
      <c r="CT5" s="84"/>
      <c r="CU5" s="84"/>
      <c r="CV5" s="84"/>
      <c r="CW5" s="84"/>
      <c r="CX5" s="84"/>
    </row>
    <row r="6" spans="1:102" s="85" customFormat="1" ht="17.25" customHeight="1" x14ac:dyDescent="0.25">
      <c r="A6" s="159"/>
      <c r="B6" s="94"/>
      <c r="C6" s="154"/>
      <c r="D6" s="154"/>
      <c r="E6" s="154"/>
      <c r="F6" s="160"/>
      <c r="G6" s="155"/>
      <c r="H6" s="156"/>
      <c r="I6" s="156"/>
      <c r="J6" s="157" t="str">
        <f t="shared" ref="J5:J10" ca="1" si="1">IF(C6&gt;0, IF((OR(I6="PD",I6="SR")),(TODAY()-C6),IF(OR(I6="OK",I6="RS"),"-", "")), "")</f>
        <v/>
      </c>
      <c r="K6" s="157" t="str">
        <f t="shared" ref="K5:K10" ca="1" si="2">IF(D6&gt;0,IF((OR(I6="PD",I6="SR")),(TODAY()-D6),IF(OR(I6="OK",I6="RS"),"-", "")), "")</f>
        <v/>
      </c>
      <c r="L6" s="157" t="str">
        <f t="shared" ref="L5:L10" ca="1" si="3">IF(D6&gt;0,IF(I6="RS",(TODAY()-D6),IF(I6="OK","-", "")), "")</f>
        <v/>
      </c>
      <c r="M6" s="158"/>
      <c r="N6" s="157" t="str">
        <f t="shared" si="0"/>
        <v/>
      </c>
      <c r="O6" s="153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  <c r="AC6" s="84"/>
      <c r="AD6" s="84"/>
      <c r="AE6" s="84"/>
      <c r="AF6" s="84"/>
      <c r="AG6" s="84"/>
      <c r="AH6" s="84"/>
      <c r="AI6" s="84"/>
      <c r="AJ6" s="84"/>
      <c r="AK6" s="84"/>
      <c r="AL6" s="84"/>
      <c r="AM6" s="84"/>
      <c r="AN6" s="84"/>
      <c r="AO6" s="84"/>
      <c r="AP6" s="84"/>
      <c r="AQ6" s="84"/>
      <c r="AR6" s="84"/>
      <c r="AS6" s="84"/>
      <c r="AT6" s="84"/>
      <c r="AU6" s="84"/>
      <c r="AV6" s="84"/>
      <c r="AW6" s="84"/>
      <c r="AX6" s="84"/>
      <c r="AY6" s="84"/>
      <c r="AZ6" s="84"/>
      <c r="BA6" s="84"/>
      <c r="BB6" s="84"/>
      <c r="BC6" s="84"/>
      <c r="BD6" s="84"/>
      <c r="BE6" s="84"/>
      <c r="BF6" s="84"/>
      <c r="BG6" s="84"/>
      <c r="BH6" s="84"/>
      <c r="BI6" s="84"/>
      <c r="BJ6" s="84"/>
      <c r="BK6" s="84"/>
      <c r="BL6" s="84"/>
      <c r="BM6" s="84"/>
      <c r="BN6" s="84"/>
      <c r="BO6" s="84"/>
      <c r="BP6" s="84"/>
      <c r="BQ6" s="84"/>
      <c r="BR6" s="84"/>
      <c r="BS6" s="84"/>
      <c r="BT6" s="84"/>
      <c r="BU6" s="84"/>
      <c r="BV6" s="84"/>
      <c r="BW6" s="84"/>
      <c r="BX6" s="84"/>
      <c r="BY6" s="84"/>
      <c r="BZ6" s="84"/>
      <c r="CA6" s="84"/>
      <c r="CB6" s="84"/>
      <c r="CC6" s="84"/>
      <c r="CD6" s="84"/>
      <c r="CE6" s="84"/>
      <c r="CF6" s="84"/>
      <c r="CG6" s="84"/>
      <c r="CH6" s="84"/>
      <c r="CI6" s="84"/>
      <c r="CJ6" s="84"/>
      <c r="CK6" s="84"/>
      <c r="CL6" s="84"/>
      <c r="CM6" s="84"/>
      <c r="CN6" s="84"/>
      <c r="CO6" s="84"/>
      <c r="CP6" s="84"/>
      <c r="CQ6" s="84"/>
      <c r="CR6" s="84"/>
      <c r="CS6" s="84"/>
      <c r="CT6" s="84"/>
      <c r="CU6" s="84"/>
      <c r="CV6" s="84"/>
      <c r="CW6" s="84"/>
      <c r="CX6" s="84"/>
    </row>
    <row r="7" spans="1:102" s="85" customFormat="1" ht="17.25" customHeight="1" x14ac:dyDescent="0.25">
      <c r="A7" s="159"/>
      <c r="B7" s="94"/>
      <c r="C7" s="154"/>
      <c r="D7" s="154"/>
      <c r="E7" s="154"/>
      <c r="F7" s="160"/>
      <c r="G7" s="155"/>
      <c r="H7" s="156"/>
      <c r="I7" s="156"/>
      <c r="J7" s="157" t="str">
        <f t="shared" ca="1" si="1"/>
        <v/>
      </c>
      <c r="K7" s="157" t="str">
        <f t="shared" ca="1" si="2"/>
        <v/>
      </c>
      <c r="L7" s="157" t="str">
        <f t="shared" ca="1" si="3"/>
        <v/>
      </c>
      <c r="M7" s="158"/>
      <c r="N7" s="157" t="str">
        <f t="shared" si="0"/>
        <v/>
      </c>
      <c r="O7" s="153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/>
      <c r="AE7" s="84"/>
      <c r="AF7" s="84"/>
      <c r="AG7" s="84"/>
      <c r="AH7" s="84"/>
      <c r="AI7" s="84"/>
      <c r="AJ7" s="84"/>
      <c r="AK7" s="84"/>
      <c r="AL7" s="84"/>
      <c r="AM7" s="84"/>
      <c r="AN7" s="84"/>
      <c r="AO7" s="84"/>
      <c r="AP7" s="84"/>
      <c r="AQ7" s="84"/>
      <c r="AR7" s="84"/>
      <c r="AS7" s="84"/>
      <c r="AT7" s="84"/>
      <c r="AU7" s="84"/>
      <c r="AV7" s="84"/>
      <c r="AW7" s="84"/>
      <c r="AX7" s="84"/>
      <c r="AY7" s="84"/>
      <c r="AZ7" s="84"/>
      <c r="BA7" s="84"/>
      <c r="BB7" s="84"/>
      <c r="BC7" s="84"/>
      <c r="BD7" s="84"/>
      <c r="BE7" s="84"/>
      <c r="BF7" s="84"/>
      <c r="BG7" s="84"/>
      <c r="BH7" s="84"/>
      <c r="BI7" s="84"/>
      <c r="BJ7" s="84"/>
      <c r="BK7" s="84"/>
      <c r="BL7" s="84"/>
      <c r="BM7" s="84"/>
      <c r="BN7" s="84"/>
      <c r="BO7" s="84"/>
      <c r="BP7" s="84"/>
      <c r="BQ7" s="84"/>
      <c r="BR7" s="84"/>
      <c r="BS7" s="84"/>
      <c r="BT7" s="84"/>
      <c r="BU7" s="84"/>
      <c r="BV7" s="84"/>
      <c r="BW7" s="84"/>
      <c r="BX7" s="84"/>
      <c r="BY7" s="84"/>
      <c r="BZ7" s="84"/>
      <c r="CA7" s="84"/>
      <c r="CB7" s="84"/>
      <c r="CC7" s="84"/>
      <c r="CD7" s="84"/>
      <c r="CE7" s="84"/>
      <c r="CF7" s="84"/>
      <c r="CG7" s="84"/>
      <c r="CH7" s="84"/>
      <c r="CI7" s="84"/>
      <c r="CJ7" s="84"/>
      <c r="CK7" s="84"/>
      <c r="CL7" s="84"/>
      <c r="CM7" s="84"/>
      <c r="CN7" s="84"/>
      <c r="CO7" s="84"/>
      <c r="CP7" s="84"/>
      <c r="CQ7" s="84"/>
      <c r="CR7" s="84"/>
      <c r="CS7" s="84"/>
      <c r="CT7" s="84"/>
      <c r="CU7" s="84"/>
      <c r="CV7" s="84"/>
      <c r="CW7" s="84"/>
      <c r="CX7" s="84"/>
    </row>
    <row r="8" spans="1:102" s="85" customFormat="1" ht="17.25" customHeight="1" x14ac:dyDescent="0.25">
      <c r="A8" s="159"/>
      <c r="B8" s="94"/>
      <c r="C8" s="154"/>
      <c r="D8" s="154"/>
      <c r="E8" s="154"/>
      <c r="F8" s="160"/>
      <c r="G8" s="155"/>
      <c r="H8" s="156"/>
      <c r="I8" s="156"/>
      <c r="J8" s="157" t="str">
        <f t="shared" ca="1" si="1"/>
        <v/>
      </c>
      <c r="K8" s="157" t="str">
        <f t="shared" ca="1" si="2"/>
        <v/>
      </c>
      <c r="L8" s="157" t="str">
        <f t="shared" ca="1" si="3"/>
        <v/>
      </c>
      <c r="M8" s="158"/>
      <c r="N8" s="157" t="str">
        <f t="shared" si="0"/>
        <v/>
      </c>
      <c r="O8" s="153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84"/>
      <c r="AH8" s="84"/>
      <c r="AI8" s="84"/>
      <c r="AJ8" s="84"/>
      <c r="AK8" s="84"/>
      <c r="AL8" s="84"/>
      <c r="AM8" s="84"/>
      <c r="AN8" s="84"/>
      <c r="AO8" s="84"/>
      <c r="AP8" s="84"/>
      <c r="AQ8" s="84"/>
      <c r="AR8" s="84"/>
      <c r="AS8" s="84"/>
      <c r="AT8" s="84"/>
      <c r="AU8" s="84"/>
      <c r="AV8" s="84"/>
      <c r="AW8" s="84"/>
      <c r="AX8" s="84"/>
      <c r="AY8" s="84"/>
      <c r="AZ8" s="84"/>
      <c r="BA8" s="84"/>
      <c r="BB8" s="84"/>
      <c r="BC8" s="84"/>
      <c r="BD8" s="84"/>
      <c r="BE8" s="84"/>
      <c r="BF8" s="84"/>
      <c r="BG8" s="84"/>
      <c r="BH8" s="84"/>
      <c r="BI8" s="84"/>
      <c r="BJ8" s="84"/>
      <c r="BK8" s="84"/>
      <c r="BL8" s="84"/>
      <c r="BM8" s="84"/>
      <c r="BN8" s="84"/>
      <c r="BO8" s="84"/>
      <c r="BP8" s="84"/>
      <c r="BQ8" s="84"/>
      <c r="BR8" s="84"/>
      <c r="BS8" s="84"/>
      <c r="BT8" s="84"/>
      <c r="BU8" s="84"/>
      <c r="BV8" s="84"/>
      <c r="BW8" s="84"/>
      <c r="BX8" s="84"/>
      <c r="BY8" s="84"/>
      <c r="BZ8" s="84"/>
      <c r="CA8" s="84"/>
      <c r="CB8" s="84"/>
      <c r="CC8" s="84"/>
      <c r="CD8" s="84"/>
      <c r="CE8" s="84"/>
      <c r="CF8" s="84"/>
      <c r="CG8" s="84"/>
      <c r="CH8" s="84"/>
      <c r="CI8" s="84"/>
      <c r="CJ8" s="84"/>
      <c r="CK8" s="84"/>
      <c r="CL8" s="84"/>
      <c r="CM8" s="84"/>
      <c r="CN8" s="84"/>
      <c r="CO8" s="84"/>
      <c r="CP8" s="84"/>
      <c r="CQ8" s="84"/>
      <c r="CR8" s="84"/>
      <c r="CS8" s="84"/>
      <c r="CT8" s="84"/>
      <c r="CU8" s="84"/>
      <c r="CV8" s="84"/>
      <c r="CW8" s="84"/>
      <c r="CX8" s="84"/>
    </row>
    <row r="9" spans="1:102" s="85" customFormat="1" ht="17.25" customHeight="1" x14ac:dyDescent="0.25">
      <c r="A9" s="159"/>
      <c r="B9" s="94"/>
      <c r="C9" s="154"/>
      <c r="D9" s="154"/>
      <c r="E9" s="154"/>
      <c r="F9" s="160"/>
      <c r="G9" s="155"/>
      <c r="H9" s="156"/>
      <c r="I9" s="156"/>
      <c r="J9" s="157" t="str">
        <f t="shared" ca="1" si="1"/>
        <v/>
      </c>
      <c r="K9" s="157" t="str">
        <f t="shared" ca="1" si="2"/>
        <v/>
      </c>
      <c r="L9" s="157" t="str">
        <f t="shared" ca="1" si="3"/>
        <v/>
      </c>
      <c r="M9" s="158"/>
      <c r="N9" s="157" t="str">
        <f t="shared" si="0"/>
        <v/>
      </c>
      <c r="O9" s="153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  <c r="AA9" s="84"/>
      <c r="AB9" s="84"/>
      <c r="AC9" s="84"/>
      <c r="AD9" s="84"/>
      <c r="AE9" s="84"/>
      <c r="AF9" s="84"/>
      <c r="AG9" s="84"/>
      <c r="AH9" s="84"/>
      <c r="AI9" s="84"/>
      <c r="AJ9" s="84"/>
      <c r="AK9" s="84"/>
      <c r="AL9" s="84"/>
      <c r="AM9" s="84"/>
      <c r="AN9" s="84"/>
      <c r="AO9" s="84"/>
      <c r="AP9" s="84"/>
      <c r="AQ9" s="84"/>
      <c r="AR9" s="84"/>
      <c r="AS9" s="84"/>
      <c r="AT9" s="84"/>
      <c r="AU9" s="84"/>
      <c r="AV9" s="84"/>
      <c r="AW9" s="84"/>
      <c r="AX9" s="84"/>
      <c r="AY9" s="84"/>
      <c r="AZ9" s="84"/>
      <c r="BA9" s="84"/>
      <c r="BB9" s="84"/>
      <c r="BC9" s="84"/>
      <c r="BD9" s="84"/>
      <c r="BE9" s="84"/>
      <c r="BF9" s="84"/>
      <c r="BG9" s="84"/>
      <c r="BH9" s="84"/>
      <c r="BI9" s="84"/>
      <c r="BJ9" s="84"/>
      <c r="BK9" s="84"/>
      <c r="BL9" s="84"/>
      <c r="BM9" s="84"/>
      <c r="BN9" s="84"/>
      <c r="BO9" s="84"/>
      <c r="BP9" s="84"/>
      <c r="BQ9" s="84"/>
      <c r="BR9" s="84"/>
      <c r="BS9" s="84"/>
      <c r="BT9" s="84"/>
      <c r="BU9" s="84"/>
      <c r="BV9" s="84"/>
      <c r="BW9" s="84"/>
      <c r="BX9" s="84"/>
      <c r="BY9" s="84"/>
      <c r="BZ9" s="84"/>
      <c r="CA9" s="84"/>
      <c r="CB9" s="84"/>
      <c r="CC9" s="84"/>
      <c r="CD9" s="84"/>
      <c r="CE9" s="84"/>
      <c r="CF9" s="84"/>
      <c r="CG9" s="84"/>
      <c r="CH9" s="84"/>
      <c r="CI9" s="84"/>
      <c r="CJ9" s="84"/>
      <c r="CK9" s="84"/>
      <c r="CL9" s="84"/>
      <c r="CM9" s="84"/>
      <c r="CN9" s="84"/>
      <c r="CO9" s="84"/>
      <c r="CP9" s="84"/>
      <c r="CQ9" s="84"/>
      <c r="CR9" s="84"/>
      <c r="CS9" s="84"/>
      <c r="CT9" s="84"/>
      <c r="CU9" s="84"/>
      <c r="CV9" s="84"/>
      <c r="CW9" s="84"/>
      <c r="CX9" s="84"/>
    </row>
    <row r="10" spans="1:102" s="85" customFormat="1" ht="17.25" customHeight="1" x14ac:dyDescent="0.25">
      <c r="A10" s="159"/>
      <c r="B10" s="94"/>
      <c r="C10" s="154"/>
      <c r="D10" s="154"/>
      <c r="E10" s="154"/>
      <c r="F10" s="160"/>
      <c r="G10" s="155"/>
      <c r="H10" s="156"/>
      <c r="I10" s="156"/>
      <c r="J10" s="157" t="str">
        <f t="shared" ca="1" si="1"/>
        <v/>
      </c>
      <c r="K10" s="157" t="str">
        <f t="shared" ca="1" si="2"/>
        <v/>
      </c>
      <c r="L10" s="157" t="str">
        <f t="shared" ca="1" si="3"/>
        <v/>
      </c>
      <c r="M10" s="158"/>
      <c r="N10" s="157" t="str">
        <f t="shared" si="0"/>
        <v/>
      </c>
      <c r="O10" s="153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84"/>
      <c r="AH10" s="84"/>
      <c r="AI10" s="84"/>
      <c r="AJ10" s="84"/>
      <c r="AK10" s="84"/>
      <c r="AL10" s="84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/>
      <c r="AX10" s="84"/>
      <c r="AY10" s="84"/>
      <c r="AZ10" s="84"/>
      <c r="BA10" s="84"/>
      <c r="BB10" s="84"/>
      <c r="BC10" s="84"/>
      <c r="BD10" s="84"/>
      <c r="BE10" s="84"/>
      <c r="BF10" s="84"/>
      <c r="BG10" s="84"/>
      <c r="BH10" s="84"/>
      <c r="BI10" s="84"/>
      <c r="BJ10" s="84"/>
      <c r="BK10" s="84"/>
      <c r="BL10" s="84"/>
      <c r="BM10" s="84"/>
      <c r="BN10" s="84"/>
      <c r="BO10" s="84"/>
      <c r="BP10" s="84"/>
      <c r="BQ10" s="84"/>
      <c r="BR10" s="84"/>
      <c r="BS10" s="84"/>
      <c r="BT10" s="84"/>
      <c r="BU10" s="84"/>
      <c r="BV10" s="84"/>
      <c r="BW10" s="84"/>
      <c r="BX10" s="84"/>
      <c r="BY10" s="84"/>
      <c r="BZ10" s="84"/>
      <c r="CA10" s="84"/>
      <c r="CB10" s="84"/>
      <c r="CC10" s="84"/>
      <c r="CD10" s="84"/>
      <c r="CE10" s="84"/>
      <c r="CF10" s="84"/>
      <c r="CG10" s="84"/>
      <c r="CH10" s="84"/>
      <c r="CI10" s="84"/>
      <c r="CJ10" s="84"/>
      <c r="CK10" s="84"/>
      <c r="CL10" s="84"/>
      <c r="CM10" s="84"/>
      <c r="CN10" s="84"/>
      <c r="CO10" s="84"/>
      <c r="CP10" s="84"/>
      <c r="CQ10" s="84"/>
      <c r="CR10" s="84"/>
      <c r="CS10" s="84"/>
      <c r="CT10" s="84"/>
      <c r="CU10" s="84"/>
      <c r="CV10" s="84"/>
      <c r="CW10" s="84"/>
      <c r="CX10" s="84"/>
    </row>
    <row r="11" spans="1:102" s="85" customFormat="1" ht="17.25" customHeight="1" x14ac:dyDescent="0.25">
      <c r="A11" s="159"/>
      <c r="B11" s="94"/>
      <c r="C11" s="154"/>
      <c r="D11" s="154"/>
      <c r="E11" s="154"/>
      <c r="F11" s="160"/>
      <c r="G11" s="155"/>
      <c r="H11" s="156"/>
      <c r="I11" s="156"/>
      <c r="J11" s="157" t="str">
        <f t="shared" ref="J11:J13" ca="1" si="4">IF(C11&gt;0, IF((OR(I11="PD",I11="SR")),(TODAY()-C11),IF(OR(I11="OK",I11="RS"),"-", "")), "")</f>
        <v/>
      </c>
      <c r="K11" s="157" t="str">
        <f t="shared" ref="K11:K13" ca="1" si="5">IF(D11&gt;0,IF((OR(I11="PD",I11="SR")),(TODAY()-D11),IF(OR(I11="OK",I11="RS"),"-", "")), "")</f>
        <v/>
      </c>
      <c r="L11" s="157" t="str">
        <f t="shared" ref="L11:L13" ca="1" si="6">IF(D11&gt;0,IF(I11="RS",(TODAY()-D11),IF(I11="OK","-", "")), "")</f>
        <v/>
      </c>
      <c r="M11" s="158"/>
      <c r="N11" s="157" t="str">
        <f t="shared" ref="N11:N13" si="7">IF(OR(I11="SR",I11="PD"),K11,IF(OR(E11="-",D11="-"),"-",IF((E11),(E11-D11),"")))</f>
        <v/>
      </c>
      <c r="O11" s="153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4"/>
      <c r="BU11" s="84"/>
      <c r="BV11" s="84"/>
      <c r="BW11" s="84"/>
      <c r="BX11" s="84"/>
      <c r="BY11" s="84"/>
      <c r="BZ11" s="84"/>
      <c r="CA11" s="84"/>
      <c r="CB11" s="84"/>
      <c r="CC11" s="84"/>
      <c r="CD11" s="84"/>
      <c r="CE11" s="84"/>
      <c r="CF11" s="84"/>
      <c r="CG11" s="84"/>
      <c r="CH11" s="84"/>
      <c r="CI11" s="84"/>
      <c r="CJ11" s="84"/>
      <c r="CK11" s="84"/>
      <c r="CL11" s="84"/>
      <c r="CM11" s="84"/>
      <c r="CN11" s="84"/>
      <c r="CO11" s="84"/>
      <c r="CP11" s="84"/>
      <c r="CQ11" s="84"/>
      <c r="CR11" s="84"/>
      <c r="CS11" s="84"/>
      <c r="CT11" s="84"/>
      <c r="CU11" s="84"/>
      <c r="CV11" s="84"/>
      <c r="CW11" s="84"/>
      <c r="CX11" s="84"/>
    </row>
    <row r="12" spans="1:102" s="85" customFormat="1" ht="17.25" customHeight="1" x14ac:dyDescent="0.25">
      <c r="A12" s="159"/>
      <c r="B12" s="94"/>
      <c r="C12" s="154"/>
      <c r="D12" s="154"/>
      <c r="E12" s="154"/>
      <c r="F12" s="160"/>
      <c r="G12" s="155"/>
      <c r="H12" s="156"/>
      <c r="I12" s="156"/>
      <c r="J12" s="157" t="str">
        <f t="shared" ca="1" si="4"/>
        <v/>
      </c>
      <c r="K12" s="157" t="str">
        <f t="shared" ca="1" si="5"/>
        <v/>
      </c>
      <c r="L12" s="157" t="str">
        <f t="shared" ca="1" si="6"/>
        <v/>
      </c>
      <c r="M12" s="158"/>
      <c r="N12" s="157" t="str">
        <f t="shared" si="7"/>
        <v/>
      </c>
      <c r="O12" s="153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84"/>
      <c r="AH12" s="84"/>
      <c r="AI12" s="84"/>
      <c r="AJ12" s="84"/>
      <c r="AK12" s="84"/>
      <c r="AL12" s="84"/>
      <c r="AM12" s="84"/>
      <c r="AN12" s="84"/>
      <c r="AO12" s="84"/>
      <c r="AP12" s="84"/>
      <c r="AQ12" s="84"/>
      <c r="AR12" s="84"/>
      <c r="AS12" s="84"/>
      <c r="AT12" s="84"/>
      <c r="AU12" s="84"/>
      <c r="AV12" s="84"/>
      <c r="AW12" s="84"/>
      <c r="AX12" s="84"/>
      <c r="AY12" s="84"/>
      <c r="AZ12" s="84"/>
      <c r="BA12" s="84"/>
      <c r="BB12" s="84"/>
      <c r="BC12" s="84"/>
      <c r="BD12" s="84"/>
      <c r="BE12" s="84"/>
      <c r="BF12" s="84"/>
      <c r="BG12" s="84"/>
      <c r="BH12" s="84"/>
      <c r="BI12" s="84"/>
      <c r="BJ12" s="84"/>
      <c r="BK12" s="84"/>
      <c r="BL12" s="84"/>
      <c r="BM12" s="84"/>
      <c r="BN12" s="84"/>
      <c r="BO12" s="84"/>
      <c r="BP12" s="84"/>
      <c r="BQ12" s="84"/>
      <c r="BR12" s="84"/>
      <c r="BS12" s="84"/>
      <c r="BT12" s="84"/>
      <c r="BU12" s="84"/>
      <c r="BV12" s="84"/>
      <c r="BW12" s="84"/>
      <c r="BX12" s="84"/>
      <c r="BY12" s="84"/>
      <c r="BZ12" s="84"/>
      <c r="CA12" s="84"/>
      <c r="CB12" s="84"/>
      <c r="CC12" s="84"/>
      <c r="CD12" s="84"/>
      <c r="CE12" s="84"/>
      <c r="CF12" s="84"/>
      <c r="CG12" s="84"/>
      <c r="CH12" s="84"/>
      <c r="CI12" s="84"/>
      <c r="CJ12" s="84"/>
      <c r="CK12" s="84"/>
      <c r="CL12" s="84"/>
      <c r="CM12" s="84"/>
      <c r="CN12" s="84"/>
      <c r="CO12" s="84"/>
      <c r="CP12" s="84"/>
      <c r="CQ12" s="84"/>
      <c r="CR12" s="84"/>
      <c r="CS12" s="84"/>
      <c r="CT12" s="84"/>
      <c r="CU12" s="84"/>
      <c r="CV12" s="84"/>
      <c r="CW12" s="84"/>
      <c r="CX12" s="84"/>
    </row>
    <row r="13" spans="1:102" s="85" customFormat="1" ht="17.25" customHeight="1" x14ac:dyDescent="0.25">
      <c r="A13" s="159"/>
      <c r="B13" s="94"/>
      <c r="C13" s="154"/>
      <c r="D13" s="154"/>
      <c r="E13" s="154"/>
      <c r="F13" s="160"/>
      <c r="G13" s="155"/>
      <c r="H13" s="156"/>
      <c r="I13" s="156"/>
      <c r="J13" s="157" t="str">
        <f t="shared" ca="1" si="4"/>
        <v/>
      </c>
      <c r="K13" s="157" t="str">
        <f t="shared" ca="1" si="5"/>
        <v/>
      </c>
      <c r="L13" s="157" t="str">
        <f t="shared" ca="1" si="6"/>
        <v/>
      </c>
      <c r="M13" s="158"/>
      <c r="N13" s="157" t="str">
        <f t="shared" si="7"/>
        <v/>
      </c>
      <c r="O13" s="153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84"/>
      <c r="AH13" s="84"/>
      <c r="AI13" s="84"/>
      <c r="AJ13" s="84"/>
      <c r="AK13" s="84"/>
      <c r="AL13" s="84"/>
      <c r="AM13" s="84"/>
      <c r="AN13" s="84"/>
      <c r="AO13" s="84"/>
      <c r="AP13" s="84"/>
      <c r="AQ13" s="84"/>
      <c r="AR13" s="84"/>
      <c r="AS13" s="84"/>
      <c r="AT13" s="84"/>
      <c r="AU13" s="84"/>
      <c r="AV13" s="84"/>
      <c r="AW13" s="84"/>
      <c r="AX13" s="84"/>
      <c r="AY13" s="84"/>
      <c r="AZ13" s="84"/>
      <c r="BA13" s="84"/>
      <c r="BB13" s="84"/>
      <c r="BC13" s="84"/>
      <c r="BD13" s="84"/>
      <c r="BE13" s="84"/>
      <c r="BF13" s="84"/>
      <c r="BG13" s="84"/>
      <c r="BH13" s="84"/>
      <c r="BI13" s="84"/>
      <c r="BJ13" s="84"/>
      <c r="BK13" s="84"/>
      <c r="BL13" s="84"/>
      <c r="BM13" s="84"/>
      <c r="BN13" s="84"/>
      <c r="BO13" s="84"/>
      <c r="BP13" s="84"/>
      <c r="BQ13" s="84"/>
      <c r="BR13" s="84"/>
      <c r="BS13" s="84"/>
      <c r="BT13" s="84"/>
      <c r="BU13" s="84"/>
      <c r="BV13" s="84"/>
      <c r="BW13" s="84"/>
      <c r="BX13" s="84"/>
      <c r="BY13" s="84"/>
      <c r="BZ13" s="84"/>
      <c r="CA13" s="84"/>
      <c r="CB13" s="84"/>
      <c r="CC13" s="84"/>
      <c r="CD13" s="84"/>
      <c r="CE13" s="84"/>
      <c r="CF13" s="84"/>
      <c r="CG13" s="84"/>
      <c r="CH13" s="84"/>
      <c r="CI13" s="84"/>
      <c r="CJ13" s="84"/>
      <c r="CK13" s="84"/>
      <c r="CL13" s="84"/>
      <c r="CM13" s="84"/>
      <c r="CN13" s="84"/>
      <c r="CO13" s="84"/>
      <c r="CP13" s="84"/>
      <c r="CQ13" s="84"/>
      <c r="CR13" s="84"/>
      <c r="CS13" s="84"/>
      <c r="CT13" s="84"/>
      <c r="CU13" s="84"/>
      <c r="CV13" s="84"/>
      <c r="CW13" s="84"/>
      <c r="CX13" s="84"/>
    </row>
    <row r="14" spans="1:102" s="85" customFormat="1" ht="17.25" customHeight="1" x14ac:dyDescent="0.25">
      <c r="A14" s="159"/>
      <c r="B14" s="94"/>
      <c r="C14" s="154"/>
      <c r="D14" s="154"/>
      <c r="E14" s="154"/>
      <c r="F14" s="160"/>
      <c r="G14" s="155"/>
      <c r="H14" s="156"/>
      <c r="I14" s="156"/>
      <c r="J14" s="157" t="str">
        <f ca="1">IF(C14&gt;0, IF((OR(I14="PD",I14="SR")),(TODAY()-C14),IF(OR(I14="OK",I14="RS"),"-", "")), "")</f>
        <v/>
      </c>
      <c r="K14" s="157" t="str">
        <f ca="1">IF(D14&gt;0,IF((OR(I14="PD",I14="SR")),(TODAY()-D14),IF(OR(I14="OK",I14="RS"),"-", "")), "")</f>
        <v/>
      </c>
      <c r="L14" s="157" t="str">
        <f ca="1">IF(D14&gt;0,IF(I14="RS",(TODAY()-D14),IF(I14="OK","-", "")), "")</f>
        <v/>
      </c>
      <c r="M14" s="158"/>
      <c r="N14" s="157" t="str">
        <f>IF(OR(I14="SR",I14="PD"),K14,IF(OR(E14="-",D14="-"),"-",IF((E14),(E14-D14),"")))</f>
        <v/>
      </c>
      <c r="O14" s="153"/>
      <c r="P14" s="84"/>
      <c r="Q14" s="84"/>
      <c r="R14" s="84"/>
      <c r="S14" s="84"/>
      <c r="T14" s="84"/>
      <c r="U14" s="84"/>
      <c r="V14" s="84"/>
      <c r="W14" s="84"/>
      <c r="X14" s="84"/>
      <c r="Y14" s="84"/>
      <c r="Z14" s="84"/>
      <c r="AA14" s="84"/>
      <c r="AB14" s="84"/>
      <c r="AC14" s="84"/>
      <c r="AD14" s="84"/>
      <c r="AE14" s="84"/>
      <c r="AF14" s="84"/>
      <c r="AG14" s="84"/>
      <c r="AH14" s="84"/>
      <c r="AI14" s="84"/>
      <c r="AJ14" s="84"/>
      <c r="AK14" s="84"/>
      <c r="AL14" s="84"/>
      <c r="AM14" s="84"/>
      <c r="AN14" s="84"/>
      <c r="AO14" s="84"/>
      <c r="AP14" s="84"/>
      <c r="AQ14" s="84"/>
      <c r="AR14" s="84"/>
      <c r="AS14" s="84"/>
      <c r="AT14" s="84"/>
      <c r="AU14" s="84"/>
      <c r="AV14" s="84"/>
      <c r="AW14" s="84"/>
      <c r="AX14" s="84"/>
      <c r="AY14" s="84"/>
      <c r="AZ14" s="84"/>
      <c r="BA14" s="84"/>
      <c r="BB14" s="84"/>
      <c r="BC14" s="84"/>
      <c r="BD14" s="84"/>
      <c r="BE14" s="84"/>
      <c r="BF14" s="84"/>
      <c r="BG14" s="84"/>
      <c r="BH14" s="84"/>
      <c r="BI14" s="84"/>
      <c r="BJ14" s="84"/>
      <c r="BK14" s="84"/>
      <c r="BL14" s="84"/>
      <c r="BM14" s="84"/>
      <c r="BN14" s="84"/>
      <c r="BO14" s="84"/>
      <c r="BP14" s="84"/>
      <c r="BQ14" s="84"/>
      <c r="BR14" s="84"/>
      <c r="BS14" s="84"/>
      <c r="BT14" s="84"/>
      <c r="BU14" s="84"/>
      <c r="BV14" s="84"/>
      <c r="BW14" s="84"/>
      <c r="BX14" s="84"/>
      <c r="BY14" s="84"/>
      <c r="BZ14" s="84"/>
      <c r="CA14" s="84"/>
      <c r="CB14" s="84"/>
      <c r="CC14" s="84"/>
      <c r="CD14" s="84"/>
      <c r="CE14" s="84"/>
      <c r="CF14" s="84"/>
      <c r="CG14" s="84"/>
      <c r="CH14" s="84"/>
      <c r="CI14" s="84"/>
      <c r="CJ14" s="84"/>
      <c r="CK14" s="84"/>
      <c r="CL14" s="84"/>
      <c r="CM14" s="84"/>
      <c r="CN14" s="84"/>
      <c r="CO14" s="84"/>
      <c r="CP14" s="84"/>
      <c r="CQ14" s="84"/>
      <c r="CR14" s="84"/>
      <c r="CS14" s="84"/>
      <c r="CT14" s="84"/>
      <c r="CU14" s="84"/>
      <c r="CV14" s="84"/>
      <c r="CW14" s="84"/>
      <c r="CX14" s="84"/>
    </row>
    <row r="15" spans="1:102" s="85" customFormat="1" ht="17.25" customHeight="1" x14ac:dyDescent="0.25">
      <c r="A15" s="159"/>
      <c r="B15" s="94"/>
      <c r="C15" s="154"/>
      <c r="D15" s="154"/>
      <c r="E15" s="154"/>
      <c r="F15" s="160"/>
      <c r="G15" s="155"/>
      <c r="H15" s="156"/>
      <c r="I15" s="156"/>
      <c r="J15" s="157" t="str">
        <f ca="1">IF(C15&gt;0, IF((OR(I15="PD",I15="SR")),(TODAY()-C15),IF(OR(I15="OK",I15="RS"),"-", "")), "")</f>
        <v/>
      </c>
      <c r="K15" s="157" t="str">
        <f ca="1">IF(D15&gt;0,IF((OR(I15="PD",I15="SR")),(TODAY()-D15),IF(OR(I15="OK",I15="RS"),"-", "")), "")</f>
        <v/>
      </c>
      <c r="L15" s="157" t="str">
        <f ca="1">IF(D15&gt;0,IF(I15="RS",(TODAY()-D15),IF(I15="OK","-", "")), "")</f>
        <v/>
      </c>
      <c r="M15" s="158"/>
      <c r="N15" s="157" t="str">
        <f>IF(OR(I15="SR",I15="PD"),K15,IF(OR(E15="-",D15="-"),"-",IF((E15),(E15-D15),"")))</f>
        <v/>
      </c>
      <c r="O15" s="153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E15" s="84"/>
      <c r="AF15" s="84"/>
      <c r="AG15" s="84"/>
      <c r="AH15" s="84"/>
      <c r="AI15" s="84"/>
      <c r="AJ15" s="84"/>
      <c r="AK15" s="84"/>
      <c r="AL15" s="84"/>
      <c r="AM15" s="84"/>
      <c r="AN15" s="84"/>
      <c r="AO15" s="84"/>
      <c r="AP15" s="84"/>
      <c r="AQ15" s="84"/>
      <c r="AR15" s="84"/>
      <c r="AS15" s="84"/>
      <c r="AT15" s="84"/>
      <c r="AU15" s="84"/>
      <c r="AV15" s="84"/>
      <c r="AW15" s="84"/>
      <c r="AX15" s="84"/>
      <c r="AY15" s="84"/>
      <c r="AZ15" s="84"/>
      <c r="BA15" s="84"/>
      <c r="BB15" s="84"/>
      <c r="BC15" s="84"/>
      <c r="BD15" s="84"/>
      <c r="BE15" s="84"/>
      <c r="BF15" s="84"/>
      <c r="BG15" s="84"/>
      <c r="BH15" s="84"/>
      <c r="BI15" s="84"/>
      <c r="BJ15" s="84"/>
      <c r="BK15" s="84"/>
      <c r="BL15" s="84"/>
      <c r="BM15" s="84"/>
      <c r="BN15" s="84"/>
      <c r="BO15" s="84"/>
      <c r="BP15" s="84"/>
      <c r="BQ15" s="84"/>
      <c r="BR15" s="84"/>
      <c r="BS15" s="84"/>
      <c r="BT15" s="84"/>
      <c r="BU15" s="84"/>
      <c r="BV15" s="84"/>
      <c r="BW15" s="84"/>
      <c r="BX15" s="84"/>
      <c r="BY15" s="84"/>
      <c r="BZ15" s="84"/>
      <c r="CA15" s="84"/>
      <c r="CB15" s="84"/>
      <c r="CC15" s="84"/>
      <c r="CD15" s="84"/>
      <c r="CE15" s="84"/>
      <c r="CF15" s="84"/>
      <c r="CG15" s="84"/>
      <c r="CH15" s="84"/>
      <c r="CI15" s="84"/>
      <c r="CJ15" s="84"/>
      <c r="CK15" s="84"/>
      <c r="CL15" s="84"/>
      <c r="CM15" s="84"/>
      <c r="CN15" s="84"/>
      <c r="CO15" s="84"/>
      <c r="CP15" s="84"/>
      <c r="CQ15" s="84"/>
      <c r="CR15" s="84"/>
      <c r="CS15" s="84"/>
      <c r="CT15" s="84"/>
      <c r="CU15" s="84"/>
      <c r="CV15" s="84"/>
      <c r="CW15" s="84"/>
      <c r="CX15" s="84"/>
    </row>
    <row r="16" spans="1:102" s="85" customFormat="1" ht="17.25" customHeight="1" x14ac:dyDescent="0.25">
      <c r="A16" s="159"/>
      <c r="B16" s="94"/>
      <c r="C16" s="154"/>
      <c r="D16" s="154"/>
      <c r="E16" s="154"/>
      <c r="F16" s="160"/>
      <c r="G16" s="155"/>
      <c r="H16" s="156"/>
      <c r="I16" s="156"/>
      <c r="J16" s="157" t="str">
        <f ca="1">IF(C16&gt;0, IF((OR(I16="PD",I16="SR")),(TODAY()-C16),IF(OR(I16="OK",I16="RS"),"-", "")), "")</f>
        <v/>
      </c>
      <c r="K16" s="157" t="str">
        <f ca="1">IF(D16&gt;0,IF((OR(I16="PD",I16="SR")),(TODAY()-D16),IF(OR(I16="OK",I16="RS"),"-", "")), "")</f>
        <v/>
      </c>
      <c r="L16" s="157" t="str">
        <f ca="1">IF(D16&gt;0,IF(I16="RS",(TODAY()-D16),IF(I16="OK","-", "")), "")</f>
        <v/>
      </c>
      <c r="M16" s="158"/>
      <c r="N16" s="157" t="str">
        <f>IF(OR(I16="SR",I16="PD"),K16,IF(OR(E16="-",D16="-"),"-",IF((E16),(E16-D16),"")))</f>
        <v/>
      </c>
      <c r="O16" s="153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  <c r="AH16" s="84"/>
      <c r="AI16" s="84"/>
      <c r="AJ16" s="84"/>
      <c r="AK16" s="84"/>
      <c r="AL16" s="84"/>
      <c r="AM16" s="84"/>
      <c r="AN16" s="84"/>
      <c r="AO16" s="84"/>
      <c r="AP16" s="84"/>
      <c r="AQ16" s="84"/>
      <c r="AR16" s="84"/>
      <c r="AS16" s="84"/>
      <c r="AT16" s="84"/>
      <c r="AU16" s="84"/>
      <c r="AV16" s="84"/>
      <c r="AW16" s="84"/>
      <c r="AX16" s="84"/>
      <c r="AY16" s="84"/>
      <c r="AZ16" s="84"/>
      <c r="BA16" s="84"/>
      <c r="BB16" s="84"/>
      <c r="BC16" s="84"/>
      <c r="BD16" s="84"/>
      <c r="BE16" s="84"/>
      <c r="BF16" s="84"/>
      <c r="BG16" s="84"/>
      <c r="BH16" s="84"/>
      <c r="BI16" s="84"/>
      <c r="BJ16" s="84"/>
      <c r="BK16" s="84"/>
      <c r="BL16" s="84"/>
      <c r="BM16" s="84"/>
      <c r="BN16" s="84"/>
      <c r="BO16" s="84"/>
      <c r="BP16" s="84"/>
      <c r="BQ16" s="84"/>
      <c r="BR16" s="84"/>
      <c r="BS16" s="84"/>
      <c r="BT16" s="84"/>
      <c r="BU16" s="84"/>
      <c r="BV16" s="84"/>
      <c r="BW16" s="84"/>
      <c r="BX16" s="84"/>
      <c r="BY16" s="84"/>
      <c r="BZ16" s="84"/>
      <c r="CA16" s="84"/>
      <c r="CB16" s="84"/>
      <c r="CC16" s="84"/>
      <c r="CD16" s="84"/>
      <c r="CE16" s="84"/>
      <c r="CF16" s="84"/>
      <c r="CG16" s="84"/>
      <c r="CH16" s="84"/>
      <c r="CI16" s="84"/>
      <c r="CJ16" s="84"/>
      <c r="CK16" s="84"/>
      <c r="CL16" s="84"/>
      <c r="CM16" s="84"/>
      <c r="CN16" s="84"/>
      <c r="CO16" s="84"/>
      <c r="CP16" s="84"/>
      <c r="CQ16" s="84"/>
      <c r="CR16" s="84"/>
      <c r="CS16" s="84"/>
      <c r="CT16" s="84"/>
      <c r="CU16" s="84"/>
      <c r="CV16" s="84"/>
      <c r="CW16" s="84"/>
      <c r="CX16" s="84"/>
    </row>
    <row r="17" spans="1:102" s="81" customFormat="1" ht="17.25" customHeight="1" x14ac:dyDescent="0.25">
      <c r="A17" s="73"/>
      <c r="B17" s="94"/>
      <c r="C17" s="94"/>
      <c r="D17" s="94"/>
      <c r="E17" s="94"/>
      <c r="F17" s="74"/>
      <c r="G17" s="161"/>
      <c r="H17" s="75"/>
      <c r="I17" s="75"/>
      <c r="J17" s="76"/>
      <c r="K17" s="76"/>
      <c r="L17" s="76"/>
      <c r="M17" s="77"/>
      <c r="N17" s="78"/>
      <c r="O17" s="91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79"/>
      <c r="CF17" s="79"/>
      <c r="CG17" s="79"/>
      <c r="CH17" s="79"/>
      <c r="CI17" s="79"/>
      <c r="CJ17" s="79"/>
      <c r="CK17" s="79"/>
      <c r="CL17" s="79"/>
      <c r="CM17" s="79"/>
      <c r="CN17" s="79"/>
      <c r="CO17" s="79"/>
      <c r="CP17" s="79"/>
      <c r="CQ17" s="79"/>
      <c r="CR17" s="79"/>
      <c r="CS17" s="79"/>
      <c r="CT17" s="79"/>
      <c r="CU17" s="79"/>
      <c r="CV17" s="79"/>
      <c r="CW17" s="79"/>
      <c r="CX17" s="79"/>
    </row>
  </sheetData>
  <dataConsolidate/>
  <mergeCells count="1">
    <mergeCell ref="A1:N1"/>
  </mergeCells>
  <phoneticPr fontId="9" type="noConversion"/>
  <conditionalFormatting sqref="A4:N17">
    <cfRule type="expression" dxfId="3" priority="226">
      <formula>MOD(ROW(),2)=0</formula>
    </cfRule>
  </conditionalFormatting>
  <conditionalFormatting sqref="E2:E1048576">
    <cfRule type="expression" dxfId="2" priority="213">
      <formula>AND(E2="",OR(I2="RS",I2="OK"))</formula>
    </cfRule>
  </conditionalFormatting>
  <conditionalFormatting sqref="I2:I1048576">
    <cfRule type="expression" dxfId="1" priority="236">
      <formula>OR((AND(#REF!&lt;&gt;"",$I2="SR")),(AND($E2&lt;&gt;"",OR($I2="PD",$I2="SR"))))</formula>
    </cfRule>
  </conditionalFormatting>
  <conditionalFormatting sqref="A2:A1048576">
    <cfRule type="duplicateValues" dxfId="0" priority="237"/>
  </conditionalFormatting>
  <dataValidations count="1">
    <dataValidation type="date" operator="greaterThan" showInputMessage="1" showErrorMessage="1" sqref="C2:E2 C17:E1048576" xr:uid="{00000000-0002-0000-0100-000000000000}">
      <formula1>36526</formula1>
    </dataValidation>
  </dataValidations>
  <hyperlinks>
    <hyperlink ref="A4" r:id="rId1" tooltip="Ticket 123" display="123" xr:uid="{D99D78B8-68D3-4B5D-8DC3-10C0F0D6D1C7}"/>
    <hyperlink ref="A5" r:id="rId2" tooltip="Ticket 123" xr:uid="{B9F1FD5C-9B38-4FFE-A331-91DA7D3193D6}"/>
  </hyperlinks>
  <pageMargins left="0.78740157480314965" right="0.78740157480314965" top="0.98425196850393704" bottom="0.98425196850393704" header="0.51181102362204722" footer="0.51181102362204722"/>
  <pageSetup paperSize="9" fitToHeight="0" orientation="landscape" r:id="rId3"/>
  <headerFooter alignWithMargins="0"/>
  <drawing r:id="rId4"/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1000000}">
          <x14:formula1>
            <xm:f>Validações!$B$3:$B$6</xm:f>
          </x14:formula1>
          <xm:sqref>I4:I1048576</xm:sqref>
        </x14:dataValidation>
        <x14:dataValidation type="list" allowBlank="1" showInputMessage="1" showErrorMessage="1" xr:uid="{00000000-0002-0000-0100-000002000000}">
          <x14:formula1>
            <xm:f>Validações!$C$2:$C$1048576</xm:f>
          </x14:formula1>
          <xm:sqref>F4:F1048576</xm:sqref>
        </x14:dataValidation>
        <x14:dataValidation type="list" allowBlank="1" showInputMessage="1" showErrorMessage="1" xr:uid="{00000000-0002-0000-0100-000003000000}">
          <x14:formula1>
            <xm:f>Validações!$A$3:$A$1048576</xm:f>
          </x14:formula1>
          <xm:sqref>B4:B1048576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5"/>
  <dimension ref="A1:C10"/>
  <sheetViews>
    <sheetView tabSelected="1" workbookViewId="0">
      <selection activeCell="C8" sqref="C8"/>
    </sheetView>
  </sheetViews>
  <sheetFormatPr defaultRowHeight="13.2" x14ac:dyDescent="0.25"/>
  <cols>
    <col min="1" max="1" width="9.109375" style="63"/>
    <col min="2" max="2" width="0" style="63" hidden="1" customWidth="1"/>
    <col min="3" max="3" width="31.5546875" customWidth="1"/>
  </cols>
  <sheetData>
    <row r="1" spans="1:3" s="61" customFormat="1" x14ac:dyDescent="0.25">
      <c r="A1" s="62" t="s">
        <v>46</v>
      </c>
      <c r="B1" s="62" t="s">
        <v>32</v>
      </c>
      <c r="C1" s="62" t="s">
        <v>47</v>
      </c>
    </row>
    <row r="2" spans="1:3" x14ac:dyDescent="0.25">
      <c r="A2" s="99" t="s">
        <v>49</v>
      </c>
      <c r="B2"/>
      <c r="C2" s="63" t="s">
        <v>22</v>
      </c>
    </row>
    <row r="3" spans="1:3" x14ac:dyDescent="0.25">
      <c r="A3" s="92" t="s">
        <v>50</v>
      </c>
      <c r="B3" s="63" t="s">
        <v>8</v>
      </c>
      <c r="C3" s="63" t="s">
        <v>21</v>
      </c>
    </row>
    <row r="4" spans="1:3" x14ac:dyDescent="0.25">
      <c r="A4" s="92" t="s">
        <v>51</v>
      </c>
      <c r="B4" s="63" t="s">
        <v>18</v>
      </c>
      <c r="C4" s="63" t="s">
        <v>23</v>
      </c>
    </row>
    <row r="5" spans="1:3" x14ac:dyDescent="0.25">
      <c r="A5" s="92" t="s">
        <v>52</v>
      </c>
      <c r="B5" s="63" t="s">
        <v>9</v>
      </c>
      <c r="C5" s="63" t="s">
        <v>20</v>
      </c>
    </row>
    <row r="6" spans="1:3" x14ac:dyDescent="0.25">
      <c r="A6" s="92" t="s">
        <v>53</v>
      </c>
      <c r="B6" s="63" t="s">
        <v>6</v>
      </c>
      <c r="C6" s="63" t="s">
        <v>11</v>
      </c>
    </row>
    <row r="7" spans="1:3" x14ac:dyDescent="0.25">
      <c r="A7" s="92" t="s">
        <v>54</v>
      </c>
      <c r="C7" s="63" t="s">
        <v>10</v>
      </c>
    </row>
    <row r="8" spans="1:3" x14ac:dyDescent="0.25">
      <c r="A8" s="92" t="s">
        <v>55</v>
      </c>
      <c r="C8" s="63"/>
    </row>
    <row r="9" spans="1:3" x14ac:dyDescent="0.25">
      <c r="A9" s="92" t="s">
        <v>56</v>
      </c>
    </row>
    <row r="10" spans="1:3" x14ac:dyDescent="0.25">
      <c r="A10" s="92" t="s">
        <v>57</v>
      </c>
    </row>
  </sheetData>
  <phoneticPr fontId="30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612A039-388A-4612-B5AE-68FA1260C5A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Geral</vt:lpstr>
      <vt:lpstr>Tickets Recebidos</vt:lpstr>
      <vt:lpstr>Validações</vt:lpstr>
    </vt:vector>
  </TitlesOfParts>
  <Company>Level 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daniela.shmayev@levelup.com.br</dc:creator>
  <cp:lastModifiedBy>Daniel Nozaki</cp:lastModifiedBy>
  <cp:lastPrinted>2014-08-15T20:26:12Z</cp:lastPrinted>
  <dcterms:created xsi:type="dcterms:W3CDTF">2010-04-09T18:58:29Z</dcterms:created>
  <dcterms:modified xsi:type="dcterms:W3CDTF">2020-11-01T12:28:06Z</dcterms:modified>
</cp:coreProperties>
</file>