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danie\Desktop\"/>
    </mc:Choice>
  </mc:AlternateContent>
  <xr:revisionPtr revIDLastSave="0" documentId="13_ncr:1_{2D564D22-9AD5-40DA-99D6-BC802150D089}" xr6:coauthVersionLast="45" xr6:coauthVersionMax="45" xr10:uidLastSave="{00000000-0000-0000-0000-000000000000}"/>
  <bookViews>
    <workbookView xWindow="-108" yWindow="-108" windowWidth="23256" windowHeight="12576" tabRatio="656" activeTab="2" xr2:uid="{00000000-000D-0000-FFFF-FFFF00000000}"/>
  </bookViews>
  <sheets>
    <sheet name="Geral" sheetId="16" r:id="rId1"/>
    <sheet name="Produtos" sheetId="21" r:id="rId2"/>
    <sheet name="Tickets Recebidos" sheetId="3" r:id="rId3"/>
    <sheet name="Fórum e Sugestões" sheetId="31" r:id="rId4"/>
    <sheet name="Validações" sheetId="29" r:id="rId5"/>
  </sheets>
  <definedNames>
    <definedName name="_xlnm._FilterDatabase" localSheetId="2" hidden="1">'Tickets Recebidos'!$A$5:$I$71</definedName>
  </definedNames>
  <calcPr calcId="181029"/>
</workbook>
</file>

<file path=xl/calcChain.xml><?xml version="1.0" encoding="utf-8"?>
<calcChain xmlns="http://schemas.openxmlformats.org/spreadsheetml/2006/main">
  <c r="D14" i="29" l="1"/>
  <c r="B52" i="16" l="1"/>
  <c r="B52" i="21" l="1"/>
  <c r="B51" i="16"/>
  <c r="R39" i="16"/>
  <c r="K6" i="3" l="1"/>
  <c r="L6" i="3"/>
  <c r="M6" i="3"/>
  <c r="O6" i="3"/>
  <c r="P6" i="3"/>
  <c r="Q6" i="3"/>
  <c r="K7" i="3"/>
  <c r="L7" i="3"/>
  <c r="M7" i="3"/>
  <c r="O7" i="3"/>
  <c r="P7" i="3"/>
  <c r="Q7" i="3"/>
  <c r="K8" i="3"/>
  <c r="L8" i="3"/>
  <c r="P8" i="3" s="1"/>
  <c r="M8" i="3"/>
  <c r="O8" i="3"/>
  <c r="Q8" i="3"/>
  <c r="K9" i="3"/>
  <c r="L9" i="3"/>
  <c r="M9" i="3"/>
  <c r="O9" i="3"/>
  <c r="P9" i="3"/>
  <c r="Q9" i="3"/>
  <c r="K10" i="3"/>
  <c r="L10" i="3"/>
  <c r="M10" i="3"/>
  <c r="O10" i="3"/>
  <c r="P10" i="3"/>
  <c r="Q10" i="3"/>
  <c r="K11" i="3"/>
  <c r="L11" i="3"/>
  <c r="P11" i="3" s="1"/>
  <c r="M11" i="3"/>
  <c r="O11" i="3"/>
  <c r="Q11" i="3"/>
  <c r="K12" i="3"/>
  <c r="L12" i="3"/>
  <c r="M12" i="3"/>
  <c r="O12" i="3"/>
  <c r="P12" i="3"/>
  <c r="Q12" i="3"/>
  <c r="K13" i="3"/>
  <c r="L13" i="3"/>
  <c r="O13" i="3" s="1"/>
  <c r="M13" i="3"/>
  <c r="Q13" i="3"/>
  <c r="K14" i="3"/>
  <c r="L14" i="3"/>
  <c r="P14" i="3" s="1"/>
  <c r="M14" i="3"/>
  <c r="O14" i="3"/>
  <c r="Q14" i="3"/>
  <c r="K15" i="3"/>
  <c r="L15" i="3"/>
  <c r="P15" i="3" s="1"/>
  <c r="M15" i="3"/>
  <c r="O15" i="3"/>
  <c r="Q15" i="3"/>
  <c r="K16" i="3"/>
  <c r="L16" i="3"/>
  <c r="M16" i="3"/>
  <c r="O16" i="3"/>
  <c r="P16" i="3"/>
  <c r="Q16" i="3"/>
  <c r="K17" i="3"/>
  <c r="L17" i="3"/>
  <c r="M17" i="3"/>
  <c r="O17" i="3"/>
  <c r="P17" i="3"/>
  <c r="Q17" i="3"/>
  <c r="K18" i="3"/>
  <c r="L18" i="3"/>
  <c r="M18" i="3"/>
  <c r="O18" i="3"/>
  <c r="P18" i="3"/>
  <c r="Q18" i="3"/>
  <c r="K19" i="3"/>
  <c r="L19" i="3"/>
  <c r="M19" i="3"/>
  <c r="O19" i="3"/>
  <c r="P19" i="3"/>
  <c r="Q19" i="3"/>
  <c r="K20" i="3"/>
  <c r="L20" i="3"/>
  <c r="M20" i="3"/>
  <c r="O20" i="3"/>
  <c r="P20" i="3"/>
  <c r="Q20" i="3"/>
  <c r="K21" i="3"/>
  <c r="L21" i="3"/>
  <c r="P21" i="3" s="1"/>
  <c r="M21" i="3"/>
  <c r="Q21" i="3"/>
  <c r="K22" i="3"/>
  <c r="L22" i="3"/>
  <c r="P22" i="3" s="1"/>
  <c r="M22" i="3"/>
  <c r="O22" i="3"/>
  <c r="Q22" i="3"/>
  <c r="K23" i="3"/>
  <c r="L23" i="3"/>
  <c r="M23" i="3"/>
  <c r="O23" i="3"/>
  <c r="P23" i="3"/>
  <c r="Q23" i="3"/>
  <c r="K24" i="3"/>
  <c r="L24" i="3"/>
  <c r="P24" i="3" s="1"/>
  <c r="M24" i="3"/>
  <c r="O24" i="3"/>
  <c r="Q24" i="3"/>
  <c r="K25" i="3"/>
  <c r="L25" i="3"/>
  <c r="M25" i="3"/>
  <c r="O25" i="3"/>
  <c r="P25" i="3"/>
  <c r="Q25" i="3"/>
  <c r="K26" i="3"/>
  <c r="L26" i="3"/>
  <c r="M26" i="3"/>
  <c r="O26" i="3"/>
  <c r="P26" i="3"/>
  <c r="Q26" i="3"/>
  <c r="K27" i="3"/>
  <c r="L27" i="3"/>
  <c r="M27" i="3"/>
  <c r="O27" i="3"/>
  <c r="P27" i="3"/>
  <c r="Q27" i="3"/>
  <c r="K28" i="3"/>
  <c r="L28" i="3"/>
  <c r="M28" i="3"/>
  <c r="O28" i="3"/>
  <c r="P28" i="3"/>
  <c r="Q28" i="3"/>
  <c r="K29" i="3"/>
  <c r="L29" i="3"/>
  <c r="M29" i="3"/>
  <c r="O29" i="3"/>
  <c r="P29" i="3"/>
  <c r="Q29" i="3"/>
  <c r="K30" i="3"/>
  <c r="L30" i="3"/>
  <c r="M30" i="3"/>
  <c r="O30" i="3"/>
  <c r="P30" i="3"/>
  <c r="Q30" i="3"/>
  <c r="K31" i="3"/>
  <c r="L31" i="3"/>
  <c r="M31" i="3"/>
  <c r="O31" i="3"/>
  <c r="P31" i="3"/>
  <c r="Q31" i="3"/>
  <c r="K32" i="3"/>
  <c r="L32" i="3"/>
  <c r="M32" i="3"/>
  <c r="O32" i="3"/>
  <c r="P32" i="3"/>
  <c r="Q32" i="3"/>
  <c r="K33" i="3"/>
  <c r="L33" i="3"/>
  <c r="O33" i="3" s="1"/>
  <c r="M33" i="3"/>
  <c r="Q33" i="3"/>
  <c r="K34" i="3"/>
  <c r="L34" i="3"/>
  <c r="O34" i="3" s="1"/>
  <c r="M34" i="3"/>
  <c r="Q34" i="3"/>
  <c r="K35" i="3"/>
  <c r="L35" i="3"/>
  <c r="P35" i="3" s="1"/>
  <c r="M35" i="3"/>
  <c r="O35" i="3"/>
  <c r="Q35" i="3"/>
  <c r="K36" i="3"/>
  <c r="L36" i="3"/>
  <c r="M36" i="3"/>
  <c r="O36" i="3"/>
  <c r="P36" i="3"/>
  <c r="Q36" i="3"/>
  <c r="K37" i="3"/>
  <c r="L37" i="3"/>
  <c r="M37" i="3"/>
  <c r="O37" i="3"/>
  <c r="P37" i="3"/>
  <c r="Q37" i="3"/>
  <c r="K38" i="3"/>
  <c r="L38" i="3"/>
  <c r="M38" i="3"/>
  <c r="O38" i="3"/>
  <c r="P38" i="3"/>
  <c r="Q38" i="3"/>
  <c r="K39" i="3"/>
  <c r="L39" i="3"/>
  <c r="P39" i="3" s="1"/>
  <c r="M39" i="3"/>
  <c r="O39" i="3"/>
  <c r="Q39" i="3"/>
  <c r="K40" i="3"/>
  <c r="L40" i="3"/>
  <c r="M40" i="3"/>
  <c r="O40" i="3"/>
  <c r="P40" i="3"/>
  <c r="Q40" i="3"/>
  <c r="K41" i="3"/>
  <c r="L41" i="3"/>
  <c r="M41" i="3"/>
  <c r="O41" i="3"/>
  <c r="P41" i="3"/>
  <c r="Q41" i="3"/>
  <c r="K42" i="3"/>
  <c r="L42" i="3"/>
  <c r="M42" i="3"/>
  <c r="O42" i="3"/>
  <c r="P42" i="3"/>
  <c r="Q42" i="3"/>
  <c r="K43" i="3"/>
  <c r="L43" i="3"/>
  <c r="M43" i="3"/>
  <c r="O43" i="3"/>
  <c r="P43" i="3"/>
  <c r="Q43" i="3"/>
  <c r="K44" i="3"/>
  <c r="L44" i="3"/>
  <c r="M44" i="3"/>
  <c r="O44" i="3"/>
  <c r="P44" i="3"/>
  <c r="Q44" i="3"/>
  <c r="K45" i="3"/>
  <c r="L45" i="3"/>
  <c r="M45" i="3"/>
  <c r="O45" i="3"/>
  <c r="P45" i="3"/>
  <c r="Q45" i="3"/>
  <c r="K46" i="3"/>
  <c r="L46" i="3"/>
  <c r="M46" i="3"/>
  <c r="O46" i="3"/>
  <c r="P46" i="3"/>
  <c r="Q46" i="3"/>
  <c r="K47" i="3"/>
  <c r="L47" i="3"/>
  <c r="M47" i="3"/>
  <c r="O47" i="3"/>
  <c r="P47" i="3"/>
  <c r="Q47" i="3"/>
  <c r="K48" i="3"/>
  <c r="L48" i="3"/>
  <c r="P48" i="3" s="1"/>
  <c r="M48" i="3"/>
  <c r="O48" i="3"/>
  <c r="Q48" i="3"/>
  <c r="K49" i="3"/>
  <c r="L49" i="3"/>
  <c r="M49" i="3"/>
  <c r="O49" i="3"/>
  <c r="P49" i="3"/>
  <c r="Q49" i="3"/>
  <c r="K50" i="3"/>
  <c r="L50" i="3"/>
  <c r="M50" i="3"/>
  <c r="O50" i="3"/>
  <c r="P50" i="3"/>
  <c r="Q50" i="3"/>
  <c r="K51" i="3"/>
  <c r="L51" i="3"/>
  <c r="O51" i="3" s="1"/>
  <c r="M51" i="3"/>
  <c r="Q51" i="3"/>
  <c r="K52" i="3"/>
  <c r="L52" i="3"/>
  <c r="M52" i="3"/>
  <c r="O52" i="3"/>
  <c r="P52" i="3"/>
  <c r="Q52" i="3"/>
  <c r="K53" i="3"/>
  <c r="L53" i="3"/>
  <c r="M53" i="3"/>
  <c r="O53" i="3"/>
  <c r="P53" i="3"/>
  <c r="Q53" i="3"/>
  <c r="K54" i="3"/>
  <c r="L54" i="3"/>
  <c r="M54" i="3"/>
  <c r="O54" i="3"/>
  <c r="P54" i="3"/>
  <c r="Q54" i="3"/>
  <c r="K55" i="3"/>
  <c r="L55" i="3"/>
  <c r="P55" i="3" s="1"/>
  <c r="M55" i="3"/>
  <c r="O55" i="3"/>
  <c r="Q55" i="3"/>
  <c r="K56" i="3"/>
  <c r="L56" i="3"/>
  <c r="M56" i="3"/>
  <c r="O56" i="3"/>
  <c r="P56" i="3"/>
  <c r="Q56" i="3"/>
  <c r="K57" i="3"/>
  <c r="L57" i="3"/>
  <c r="M57" i="3"/>
  <c r="O57" i="3"/>
  <c r="P57" i="3"/>
  <c r="Q57" i="3"/>
  <c r="K58" i="3"/>
  <c r="L58" i="3"/>
  <c r="P58" i="3" s="1"/>
  <c r="M58" i="3"/>
  <c r="O58" i="3"/>
  <c r="Q58" i="3"/>
  <c r="K59" i="3"/>
  <c r="L59" i="3"/>
  <c r="M59" i="3"/>
  <c r="O59" i="3"/>
  <c r="P59" i="3"/>
  <c r="Q59" i="3"/>
  <c r="K60" i="3"/>
  <c r="L60" i="3"/>
  <c r="M60" i="3"/>
  <c r="O60" i="3"/>
  <c r="P60" i="3"/>
  <c r="Q60" i="3"/>
  <c r="K61" i="3"/>
  <c r="L61" i="3"/>
  <c r="M61" i="3"/>
  <c r="O61" i="3"/>
  <c r="P61" i="3"/>
  <c r="Q61" i="3"/>
  <c r="K62" i="3"/>
  <c r="L62" i="3"/>
  <c r="M62" i="3"/>
  <c r="O62" i="3"/>
  <c r="P62" i="3"/>
  <c r="Q62" i="3"/>
  <c r="K63" i="3"/>
  <c r="L63" i="3"/>
  <c r="M63" i="3"/>
  <c r="O63" i="3"/>
  <c r="P63" i="3"/>
  <c r="Q63" i="3"/>
  <c r="K64" i="3"/>
  <c r="L64" i="3"/>
  <c r="M64" i="3"/>
  <c r="O64" i="3"/>
  <c r="P64" i="3"/>
  <c r="Q64" i="3"/>
  <c r="K65" i="3"/>
  <c r="L65" i="3"/>
  <c r="M65" i="3"/>
  <c r="O65" i="3"/>
  <c r="P65" i="3"/>
  <c r="Q65" i="3"/>
  <c r="K66" i="3"/>
  <c r="L66" i="3"/>
  <c r="P66" i="3" s="1"/>
  <c r="M66" i="3"/>
  <c r="Q66" i="3"/>
  <c r="K67" i="3"/>
  <c r="L67" i="3"/>
  <c r="P67" i="3" s="1"/>
  <c r="M67" i="3"/>
  <c r="O67" i="3"/>
  <c r="Q67" i="3"/>
  <c r="K68" i="3"/>
  <c r="L68" i="3"/>
  <c r="P68" i="3" s="1"/>
  <c r="M68" i="3"/>
  <c r="O68" i="3"/>
  <c r="Q68" i="3"/>
  <c r="K69" i="3"/>
  <c r="L69" i="3"/>
  <c r="M69" i="3"/>
  <c r="O69" i="3"/>
  <c r="P69" i="3"/>
  <c r="Q69" i="3"/>
  <c r="K70" i="3"/>
  <c r="L70" i="3"/>
  <c r="O70" i="3" s="1"/>
  <c r="M70" i="3"/>
  <c r="Q70" i="3"/>
  <c r="K71" i="3"/>
  <c r="L71" i="3"/>
  <c r="P71" i="3" s="1"/>
  <c r="M71" i="3"/>
  <c r="O71" i="3"/>
  <c r="Q71" i="3"/>
  <c r="P70" i="3" l="1"/>
  <c r="O21" i="3"/>
  <c r="P51" i="3"/>
  <c r="N52" i="21"/>
  <c r="N51" i="21" s="1"/>
  <c r="N50" i="21" s="1"/>
  <c r="N49" i="21" s="1"/>
  <c r="N48" i="21" s="1"/>
  <c r="N47" i="21" s="1"/>
  <c r="N46" i="21" s="1"/>
  <c r="N45" i="21" s="1"/>
  <c r="N44" i="21" s="1"/>
  <c r="N43" i="21" s="1"/>
  <c r="N42" i="21" s="1"/>
  <c r="N41" i="21" s="1"/>
  <c r="N40" i="21" s="1"/>
  <c r="B51" i="21"/>
  <c r="P13" i="3"/>
  <c r="P33" i="3"/>
  <c r="P34" i="3"/>
  <c r="O66" i="3"/>
  <c r="A30" i="31"/>
  <c r="A31" i="31"/>
  <c r="A32" i="31"/>
  <c r="A33" i="31"/>
  <c r="A34" i="31"/>
  <c r="A35" i="31"/>
  <c r="A36" i="31"/>
  <c r="A37" i="31"/>
  <c r="A29" i="31"/>
  <c r="A17" i="31"/>
  <c r="A18" i="31"/>
  <c r="A19" i="31"/>
  <c r="A20" i="31"/>
  <c r="A21" i="31"/>
  <c r="A22" i="31"/>
  <c r="A23" i="31"/>
  <c r="A24" i="31"/>
  <c r="A16" i="31"/>
  <c r="AM38" i="31" l="1"/>
  <c r="AL38" i="31" l="1"/>
  <c r="AK38" i="31" l="1"/>
  <c r="AJ38" i="31" l="1"/>
  <c r="AI38" i="31" l="1"/>
  <c r="AH38" i="31" l="1"/>
  <c r="AG38" i="31" l="1"/>
  <c r="V25" i="31"/>
  <c r="R32" i="21" l="1"/>
  <c r="R33" i="21"/>
  <c r="R34" i="21"/>
  <c r="R35" i="21"/>
  <c r="AF38" i="31" l="1"/>
  <c r="U25" i="31" l="1"/>
  <c r="B50" i="21" l="1"/>
  <c r="C52" i="21"/>
  <c r="C51" i="21"/>
  <c r="C50" i="21" l="1"/>
  <c r="B49" i="21"/>
  <c r="T25" i="31"/>
  <c r="AE38" i="31"/>
  <c r="B48" i="21" l="1"/>
  <c r="C49" i="21"/>
  <c r="AD38" i="31"/>
  <c r="B47" i="21" l="1"/>
  <c r="C48" i="21"/>
  <c r="AC38" i="31"/>
  <c r="B46" i="21" l="1"/>
  <c r="C47" i="21"/>
  <c r="F52" i="21"/>
  <c r="D52" i="21"/>
  <c r="B45" i="21" l="1"/>
  <c r="C46" i="21"/>
  <c r="E52" i="21"/>
  <c r="B44" i="21" l="1"/>
  <c r="C45" i="21"/>
  <c r="S25" i="31"/>
  <c r="B43" i="21" l="1"/>
  <c r="C44" i="21"/>
  <c r="AB38" i="31"/>
  <c r="B42" i="21" l="1"/>
  <c r="C43" i="21"/>
  <c r="AA38" i="31"/>
  <c r="B41" i="21" l="1"/>
  <c r="C42" i="21"/>
  <c r="R25" i="31"/>
  <c r="B40" i="21" l="1"/>
  <c r="C41" i="21"/>
  <c r="Z38" i="31"/>
  <c r="C40" i="21" l="1"/>
  <c r="Y38" i="31"/>
  <c r="F51" i="21" l="1"/>
  <c r="D51" i="21" l="1"/>
  <c r="E51" i="21"/>
  <c r="Q25" i="31" l="1"/>
  <c r="X38" i="31" l="1"/>
  <c r="W38" i="31" l="1"/>
  <c r="R49" i="16" l="1"/>
  <c r="Q49" i="16"/>
  <c r="P49" i="16"/>
  <c r="O49" i="16"/>
  <c r="P25" i="31" l="1"/>
  <c r="V38" i="31" l="1"/>
  <c r="U38" i="31" l="1"/>
  <c r="E50" i="21" l="1"/>
  <c r="F50" i="21" l="1"/>
  <c r="D50" i="21"/>
  <c r="O25" i="31" l="1"/>
  <c r="T38" i="31" l="1"/>
  <c r="S38" i="31" l="1"/>
  <c r="N25" i="31" l="1"/>
  <c r="F44" i="21" l="1"/>
  <c r="D41" i="21"/>
  <c r="E41" i="21"/>
  <c r="F48" i="21"/>
  <c r="E45" i="21"/>
  <c r="D45" i="21"/>
  <c r="E42" i="21"/>
  <c r="D42" i="21"/>
  <c r="F41" i="21"/>
  <c r="D43" i="21"/>
  <c r="E43" i="21"/>
  <c r="F42" i="21"/>
  <c r="F43" i="21"/>
  <c r="D47" i="21"/>
  <c r="E47" i="21"/>
  <c r="E46" i="21"/>
  <c r="D46" i="21"/>
  <c r="D40" i="21"/>
  <c r="E40" i="21"/>
  <c r="F46" i="21"/>
  <c r="F40" i="21"/>
  <c r="F45" i="21"/>
  <c r="F47" i="21"/>
  <c r="E48" i="21"/>
  <c r="D48" i="21"/>
  <c r="D44" i="21"/>
  <c r="E44" i="21"/>
  <c r="D36" i="21"/>
  <c r="C36" i="21"/>
  <c r="R38" i="31"/>
  <c r="F49" i="21" l="1"/>
  <c r="D49" i="21"/>
  <c r="E49" i="21"/>
  <c r="Q38" i="31"/>
  <c r="M25" i="31" l="1"/>
  <c r="P38" i="31" l="1"/>
  <c r="C25" i="31" l="1"/>
  <c r="D25" i="31"/>
  <c r="E25" i="31"/>
  <c r="F25" i="31"/>
  <c r="G25" i="31"/>
  <c r="H25" i="31"/>
  <c r="I25" i="31"/>
  <c r="J25" i="31"/>
  <c r="K25" i="31"/>
  <c r="L25" i="31"/>
  <c r="C38" i="31"/>
  <c r="D38" i="31"/>
  <c r="E38" i="31"/>
  <c r="F38" i="31"/>
  <c r="G38" i="31"/>
  <c r="H38" i="31"/>
  <c r="I38" i="31"/>
  <c r="J38" i="31"/>
  <c r="K38" i="31"/>
  <c r="L38" i="31"/>
  <c r="M38" i="31"/>
  <c r="N38" i="31"/>
  <c r="O38" i="31"/>
  <c r="B38" i="31"/>
  <c r="B25" i="31"/>
  <c r="C3" i="31" l="1"/>
  <c r="C4" i="31"/>
  <c r="C5" i="31"/>
  <c r="C6" i="31"/>
  <c r="C7" i="31"/>
  <c r="C8" i="31"/>
  <c r="C9" i="31"/>
  <c r="C10" i="31"/>
  <c r="C11" i="31"/>
  <c r="B3" i="31"/>
  <c r="B4" i="31"/>
  <c r="B5" i="31"/>
  <c r="B6" i="31"/>
  <c r="B7" i="31"/>
  <c r="B8" i="31"/>
  <c r="B9" i="31"/>
  <c r="B10" i="31"/>
  <c r="B11" i="31"/>
  <c r="D13" i="29" l="1"/>
  <c r="D12" i="29" s="1"/>
  <c r="D11" i="29" s="1"/>
  <c r="D10" i="29" s="1"/>
  <c r="D9" i="29" s="1"/>
  <c r="D8" i="29" s="1"/>
  <c r="D7" i="29" s="1"/>
  <c r="D6" i="29" s="1"/>
  <c r="D5" i="29" s="1"/>
  <c r="D4" i="29" s="1"/>
  <c r="D3" i="29" s="1"/>
  <c r="D2" i="29" l="1"/>
  <c r="P22" i="16" l="1"/>
  <c r="N50" i="16" l="1"/>
  <c r="N51" i="16"/>
  <c r="N52" i="16"/>
  <c r="N53" i="16"/>
  <c r="N33" i="16"/>
  <c r="N34" i="16"/>
  <c r="N35" i="16"/>
  <c r="N36" i="16"/>
  <c r="Q39" i="16" l="1"/>
  <c r="P39" i="16" s="1"/>
  <c r="O39" i="16" s="1"/>
  <c r="C53" i="16"/>
  <c r="Q53" i="21" l="1"/>
  <c r="P19" i="21" l="1"/>
  <c r="O19" i="21"/>
  <c r="Q52" i="21"/>
  <c r="O52" i="21" l="1"/>
  <c r="Q51" i="21"/>
  <c r="O51" i="21" l="1"/>
  <c r="Q50" i="21"/>
  <c r="O50" i="21" l="1"/>
  <c r="Q49" i="21"/>
  <c r="O49" i="21" l="1"/>
  <c r="Q48" i="21"/>
  <c r="O48" i="21" l="1"/>
  <c r="Q47" i="21"/>
  <c r="O47" i="21" l="1"/>
  <c r="Q46" i="21"/>
  <c r="O46" i="21" l="1"/>
  <c r="Q45" i="21"/>
  <c r="O45" i="21" l="1"/>
  <c r="Q44" i="21"/>
  <c r="W2" i="16"/>
  <c r="O44" i="21" l="1"/>
  <c r="Q43" i="21"/>
  <c r="O43" i="21" l="1"/>
  <c r="Q42" i="21"/>
  <c r="O42" i="21" l="1"/>
  <c r="Q41" i="21"/>
  <c r="O41" i="21" l="1"/>
  <c r="Q40" i="21"/>
  <c r="O40" i="21" l="1"/>
  <c r="O53" i="21" s="1"/>
  <c r="C52" i="16" l="1"/>
  <c r="P52" i="21"/>
  <c r="P46" i="21" l="1"/>
  <c r="P43" i="21"/>
  <c r="P41" i="21"/>
  <c r="P40" i="21"/>
  <c r="P50" i="21"/>
  <c r="P49" i="21"/>
  <c r="P45" i="21"/>
  <c r="P42" i="21"/>
  <c r="P44" i="21"/>
  <c r="P48" i="21"/>
  <c r="P47" i="21"/>
  <c r="R52" i="21"/>
  <c r="R40" i="21" l="1"/>
  <c r="R43" i="21"/>
  <c r="R45" i="21"/>
  <c r="R46" i="21"/>
  <c r="R49" i="21"/>
  <c r="R41" i="21"/>
  <c r="R42" i="21"/>
  <c r="R50" i="21"/>
  <c r="P53" i="21"/>
  <c r="R53" i="21" s="1"/>
  <c r="R47" i="21"/>
  <c r="R48" i="21"/>
  <c r="P51" i="21"/>
  <c r="R51" i="21" s="1"/>
  <c r="R44" i="21"/>
  <c r="O19" i="16" l="1"/>
  <c r="C19" i="16"/>
  <c r="C19" i="21"/>
  <c r="E36" i="16"/>
  <c r="C36" i="16"/>
  <c r="C51" i="16" l="1"/>
  <c r="B17" i="21" l="1"/>
  <c r="B34" i="21" s="1"/>
  <c r="B18" i="21"/>
  <c r="B35" i="21" s="1"/>
  <c r="B19" i="21"/>
  <c r="B36" i="21" s="1"/>
  <c r="F35" i="21" l="1"/>
  <c r="C35" i="21"/>
  <c r="D35" i="21"/>
  <c r="E35" i="21"/>
  <c r="F34" i="21"/>
  <c r="D34" i="21"/>
  <c r="C34" i="21"/>
  <c r="E34" i="21"/>
  <c r="N36" i="21"/>
  <c r="N19" i="21"/>
  <c r="N17" i="21"/>
  <c r="N34" i="21"/>
  <c r="N18" i="21"/>
  <c r="N35" i="21"/>
  <c r="E19" i="21"/>
  <c r="D19" i="21"/>
  <c r="F19" i="21" l="1"/>
  <c r="N23" i="16" l="1"/>
  <c r="Q23" i="16" s="1"/>
  <c r="N40" i="16"/>
  <c r="P23" i="16" s="1"/>
  <c r="N49" i="16"/>
  <c r="N32" i="16"/>
  <c r="N48" i="16"/>
  <c r="N31" i="16"/>
  <c r="N47" i="16"/>
  <c r="P30" i="16" s="1"/>
  <c r="N30" i="16"/>
  <c r="Q30" i="16" s="1"/>
  <c r="N46" i="16"/>
  <c r="P29" i="16" s="1"/>
  <c r="N29" i="16"/>
  <c r="Q29" i="16" s="1"/>
  <c r="N45" i="16"/>
  <c r="P28" i="16" s="1"/>
  <c r="N28" i="16"/>
  <c r="Q28" i="16" s="1"/>
  <c r="N44" i="16"/>
  <c r="P27" i="16" s="1"/>
  <c r="N27" i="16"/>
  <c r="Q27" i="16" s="1"/>
  <c r="N26" i="16"/>
  <c r="Q26" i="16" s="1"/>
  <c r="N43" i="16"/>
  <c r="P26" i="16" s="1"/>
  <c r="N42" i="16"/>
  <c r="P25" i="16" s="1"/>
  <c r="N25" i="16"/>
  <c r="Q25" i="16" s="1"/>
  <c r="N41" i="16"/>
  <c r="P24" i="16" s="1"/>
  <c r="N24" i="16"/>
  <c r="Q24" i="16" s="1"/>
  <c r="C8" i="16"/>
  <c r="C7" i="16"/>
  <c r="C14" i="16"/>
  <c r="C13" i="16"/>
  <c r="C9" i="16"/>
  <c r="C12" i="16"/>
  <c r="C6" i="16"/>
  <c r="C11" i="16"/>
  <c r="C10" i="16"/>
  <c r="B14" i="21"/>
  <c r="B31" i="21" s="1"/>
  <c r="B13" i="21"/>
  <c r="B30" i="21" s="1"/>
  <c r="B12" i="21"/>
  <c r="B29" i="21" s="1"/>
  <c r="B11" i="21"/>
  <c r="B28" i="21" s="1"/>
  <c r="B10" i="21"/>
  <c r="B27" i="21" s="1"/>
  <c r="B6" i="21"/>
  <c r="B23" i="21" s="1"/>
  <c r="B9" i="21"/>
  <c r="B26" i="21" s="1"/>
  <c r="B16" i="21"/>
  <c r="B33" i="21" s="1"/>
  <c r="B8" i="21"/>
  <c r="B25" i="21" s="1"/>
  <c r="B7" i="21"/>
  <c r="B24" i="21" s="1"/>
  <c r="B15" i="21"/>
  <c r="B32" i="21" s="1"/>
  <c r="F32" i="21" l="1"/>
  <c r="E32" i="21"/>
  <c r="D32" i="21"/>
  <c r="C32" i="21"/>
  <c r="F33" i="21"/>
  <c r="D33" i="21"/>
  <c r="C33" i="21"/>
  <c r="E33" i="21"/>
  <c r="F24" i="21"/>
  <c r="E24" i="21"/>
  <c r="C24" i="21"/>
  <c r="D24" i="21"/>
  <c r="F30" i="21"/>
  <c r="D30" i="21"/>
  <c r="E30" i="21"/>
  <c r="C30" i="21"/>
  <c r="F25" i="21"/>
  <c r="E25" i="21"/>
  <c r="C25" i="21"/>
  <c r="D25" i="21"/>
  <c r="F31" i="21"/>
  <c r="C31" i="21"/>
  <c r="D31" i="21"/>
  <c r="E31" i="21"/>
  <c r="F28" i="21"/>
  <c r="C28" i="21"/>
  <c r="E28" i="21"/>
  <c r="D28" i="21"/>
  <c r="F29" i="21"/>
  <c r="E29" i="21"/>
  <c r="D29" i="21"/>
  <c r="C29" i="21"/>
  <c r="F26" i="21"/>
  <c r="D26" i="21"/>
  <c r="C26" i="21"/>
  <c r="E26" i="21"/>
  <c r="F23" i="21"/>
  <c r="C23" i="21"/>
  <c r="D23" i="21"/>
  <c r="E23" i="21"/>
  <c r="F27" i="21"/>
  <c r="C27" i="21"/>
  <c r="D27" i="21"/>
  <c r="E27" i="21"/>
  <c r="N25" i="21"/>
  <c r="P25" i="21" s="1"/>
  <c r="N31" i="21"/>
  <c r="P31" i="21" s="1"/>
  <c r="N26" i="21"/>
  <c r="P26" i="21" s="1"/>
  <c r="N27" i="21"/>
  <c r="P27" i="21" s="1"/>
  <c r="N28" i="21"/>
  <c r="P28" i="21" s="1"/>
  <c r="N24" i="21"/>
  <c r="P24" i="21" s="1"/>
  <c r="N30" i="21"/>
  <c r="P30" i="21" s="1"/>
  <c r="N32" i="21"/>
  <c r="N29" i="21"/>
  <c r="P29" i="21" s="1"/>
  <c r="N16" i="21"/>
  <c r="N33" i="21"/>
  <c r="N6" i="21"/>
  <c r="N23" i="21"/>
  <c r="P23" i="21" s="1"/>
  <c r="Q36" i="16"/>
  <c r="R24" i="16"/>
  <c r="O24" i="16"/>
  <c r="Q41" i="16"/>
  <c r="R41" i="16"/>
  <c r="P41" i="16"/>
  <c r="O41" i="16"/>
  <c r="R25" i="16"/>
  <c r="O25" i="16"/>
  <c r="Q42" i="16"/>
  <c r="R42" i="16"/>
  <c r="P42" i="16"/>
  <c r="O42" i="16"/>
  <c r="Q43" i="16"/>
  <c r="R43" i="16"/>
  <c r="P43" i="16"/>
  <c r="O43" i="16"/>
  <c r="O26" i="16"/>
  <c r="R26" i="16"/>
  <c r="O27" i="16"/>
  <c r="R27" i="16"/>
  <c r="Q44" i="16"/>
  <c r="R44" i="16"/>
  <c r="P44" i="16"/>
  <c r="O44" i="16"/>
  <c r="O28" i="16"/>
  <c r="R28" i="16"/>
  <c r="R45" i="16"/>
  <c r="Q45" i="16"/>
  <c r="P45" i="16"/>
  <c r="O45" i="16"/>
  <c r="O29" i="16"/>
  <c r="R29" i="16"/>
  <c r="Q46" i="16"/>
  <c r="R46" i="16"/>
  <c r="P46" i="16"/>
  <c r="O46" i="16"/>
  <c r="O30" i="16"/>
  <c r="R30" i="16"/>
  <c r="Q47" i="16"/>
  <c r="R47" i="16"/>
  <c r="P47" i="16"/>
  <c r="O47" i="16"/>
  <c r="R48" i="16"/>
  <c r="Q48" i="16"/>
  <c r="P48" i="16"/>
  <c r="O48" i="16"/>
  <c r="Q40" i="16"/>
  <c r="R40" i="16"/>
  <c r="P40" i="16"/>
  <c r="O40" i="16"/>
  <c r="R23" i="16"/>
  <c r="O23" i="16"/>
  <c r="C11" i="21"/>
  <c r="N11" i="21"/>
  <c r="N15" i="21"/>
  <c r="C12" i="21"/>
  <c r="N12" i="21"/>
  <c r="C8" i="21"/>
  <c r="N8" i="21"/>
  <c r="C14" i="21"/>
  <c r="N14" i="21"/>
  <c r="C7" i="21"/>
  <c r="N7" i="21"/>
  <c r="C13" i="21"/>
  <c r="N13" i="21"/>
  <c r="C9" i="21"/>
  <c r="N9" i="21"/>
  <c r="C10" i="21"/>
  <c r="N10" i="21"/>
  <c r="C6" i="21"/>
  <c r="E6" i="21"/>
  <c r="E9" i="21"/>
  <c r="D9" i="21"/>
  <c r="D6" i="21"/>
  <c r="D7" i="21"/>
  <c r="E7" i="21"/>
  <c r="D13" i="21"/>
  <c r="E13" i="21"/>
  <c r="D8" i="21"/>
  <c r="E8" i="21"/>
  <c r="E10" i="21"/>
  <c r="D10" i="21"/>
  <c r="E14" i="21"/>
  <c r="D14" i="21"/>
  <c r="D11" i="21"/>
  <c r="E11" i="21"/>
  <c r="D12" i="21"/>
  <c r="E12" i="21"/>
  <c r="Q27" i="21" l="1"/>
  <c r="Q26" i="21"/>
  <c r="Q31" i="21"/>
  <c r="Q29" i="21"/>
  <c r="Q30" i="21"/>
  <c r="Q23" i="21"/>
  <c r="Q28" i="21"/>
  <c r="Q25" i="21"/>
  <c r="Q24" i="21"/>
  <c r="E36" i="21"/>
  <c r="F36" i="21"/>
  <c r="O24" i="21"/>
  <c r="O29" i="21"/>
  <c r="O28" i="21"/>
  <c r="O26" i="21"/>
  <c r="O27" i="21"/>
  <c r="O31" i="21"/>
  <c r="O23" i="21"/>
  <c r="O30" i="21"/>
  <c r="O25" i="21"/>
  <c r="P6" i="21"/>
  <c r="O6" i="21"/>
  <c r="O36" i="16"/>
  <c r="P36" i="16"/>
  <c r="Q53" i="16"/>
  <c r="P53" i="16"/>
  <c r="R53" i="16"/>
  <c r="O53" i="16"/>
  <c r="R36" i="16"/>
  <c r="P13" i="21"/>
  <c r="O13" i="21"/>
  <c r="P8" i="21"/>
  <c r="O8" i="21"/>
  <c r="P7" i="21"/>
  <c r="O7" i="21"/>
  <c r="O12" i="21"/>
  <c r="P12" i="21"/>
  <c r="O10" i="21"/>
  <c r="P10" i="21"/>
  <c r="O9" i="21"/>
  <c r="P9" i="21"/>
  <c r="P14" i="21"/>
  <c r="O14" i="21"/>
  <c r="P11" i="21"/>
  <c r="O11" i="21"/>
  <c r="F7" i="21"/>
  <c r="F6" i="21"/>
  <c r="F11" i="21"/>
  <c r="F8" i="21"/>
  <c r="F13" i="21"/>
  <c r="F9" i="21"/>
  <c r="F12" i="21"/>
  <c r="F14" i="21"/>
  <c r="F10" i="21"/>
  <c r="R31" i="21" l="1"/>
  <c r="R29" i="21"/>
  <c r="R24" i="21"/>
  <c r="R25" i="21"/>
  <c r="R27" i="21"/>
  <c r="R30" i="21"/>
  <c r="R26" i="21"/>
  <c r="R28" i="21"/>
  <c r="R23" i="21"/>
  <c r="Q36" i="21"/>
  <c r="O36" i="21"/>
  <c r="P36" i="21"/>
  <c r="D53" i="21"/>
  <c r="F53" i="21"/>
  <c r="Q6" i="21"/>
  <c r="Q13" i="21"/>
  <c r="Q8" i="21"/>
  <c r="Q12" i="21"/>
  <c r="Q14" i="21"/>
  <c r="Q9" i="21"/>
  <c r="Q7" i="21"/>
  <c r="Q11" i="21"/>
  <c r="Q10" i="21"/>
  <c r="R36" i="21" l="1"/>
  <c r="Q19" i="21"/>
  <c r="Q19" i="16" l="1"/>
  <c r="P19" i="16"/>
  <c r="E6" i="16"/>
  <c r="D6" i="16"/>
  <c r="N19" i="16"/>
  <c r="E19" i="16" l="1"/>
  <c r="N6" i="16" l="1"/>
  <c r="O6" i="16" s="1"/>
  <c r="B34" i="16"/>
  <c r="P6" i="16" l="1"/>
  <c r="Q6" i="16"/>
  <c r="T47" i="16" l="1"/>
  <c r="T43" i="16"/>
  <c r="T42" i="16"/>
  <c r="T41" i="16"/>
  <c r="T44" i="16"/>
  <c r="T45" i="16"/>
  <c r="T46" i="16"/>
  <c r="T40" i="16"/>
  <c r="R6" i="16"/>
  <c r="B35" i="16" l="1"/>
  <c r="N18" i="16"/>
  <c r="B25" i="16"/>
  <c r="B27" i="16"/>
  <c r="B28" i="16"/>
  <c r="N12" i="16"/>
  <c r="O12" i="16" s="1"/>
  <c r="N13" i="16"/>
  <c r="O13" i="16" s="1"/>
  <c r="B32" i="16"/>
  <c r="B33" i="16"/>
  <c r="P12" i="16" l="1"/>
  <c r="Q12" i="16"/>
  <c r="Q13" i="16"/>
  <c r="P13" i="16"/>
  <c r="B26" i="16"/>
  <c r="D9" i="16"/>
  <c r="N10" i="16"/>
  <c r="O10" i="16" s="1"/>
  <c r="N17" i="16"/>
  <c r="N9" i="16"/>
  <c r="O9" i="16" s="1"/>
  <c r="B24" i="16"/>
  <c r="N8" i="16"/>
  <c r="O8" i="16" s="1"/>
  <c r="N7" i="16"/>
  <c r="O7" i="16" s="1"/>
  <c r="N16" i="16"/>
  <c r="N15" i="16"/>
  <c r="N11" i="16"/>
  <c r="O11" i="16" s="1"/>
  <c r="B31" i="16"/>
  <c r="B23" i="16"/>
  <c r="B30" i="16"/>
  <c r="B29" i="16"/>
  <c r="O14" i="16"/>
  <c r="R12" i="16" l="1"/>
  <c r="P11" i="16"/>
  <c r="Q11" i="16"/>
  <c r="Q14" i="16"/>
  <c r="P14" i="16"/>
  <c r="P7" i="16"/>
  <c r="Q7" i="16"/>
  <c r="R13" i="16"/>
  <c r="Q8" i="16"/>
  <c r="P8" i="16"/>
  <c r="P9" i="16"/>
  <c r="Q9" i="16"/>
  <c r="Q10" i="16"/>
  <c r="P10" i="16"/>
  <c r="R9" i="16" l="1"/>
  <c r="R11" i="16"/>
  <c r="R10" i="16"/>
  <c r="R7" i="16"/>
  <c r="R8" i="16"/>
  <c r="R14" i="16"/>
  <c r="R19" i="16" l="1"/>
  <c r="E7" i="16"/>
  <c r="E10" i="16"/>
  <c r="B50" i="16" l="1"/>
  <c r="C50" i="16" s="1"/>
  <c r="E51" i="16" l="1"/>
  <c r="B49" i="16"/>
  <c r="C49" i="16" s="1"/>
  <c r="C53" i="21" s="1"/>
  <c r="E50" i="16" l="1"/>
  <c r="B48" i="16"/>
  <c r="C48" i="16" s="1"/>
  <c r="E49" i="16" l="1"/>
  <c r="E53" i="21" s="1"/>
  <c r="B47" i="16"/>
  <c r="C47" i="16" s="1"/>
  <c r="E48" i="16" l="1"/>
  <c r="B46" i="16"/>
  <c r="C46" i="16" s="1"/>
  <c r="E47" i="16" l="1"/>
  <c r="B45" i="16"/>
  <c r="C45" i="16" s="1"/>
  <c r="E46" i="16" s="1"/>
  <c r="B44" i="16" l="1"/>
  <c r="C44" i="16" s="1"/>
  <c r="E45" i="16" s="1"/>
  <c r="B43" i="16" l="1"/>
  <c r="C43" i="16" s="1"/>
  <c r="E44" i="16" s="1"/>
  <c r="B42" i="16" l="1"/>
  <c r="C42" i="16" s="1"/>
  <c r="E43" i="16" s="1"/>
  <c r="B41" i="16" l="1"/>
  <c r="C41" i="16" s="1"/>
  <c r="E42" i="16" l="1"/>
  <c r="B40" i="16"/>
  <c r="C40" i="16" l="1"/>
  <c r="E41" i="16" s="1"/>
  <c r="D19" i="16"/>
  <c r="D14" i="16"/>
  <c r="D11" i="16"/>
  <c r="D7" i="16"/>
  <c r="E9" i="16"/>
  <c r="E12" i="16"/>
  <c r="E13" i="16"/>
  <c r="D13" i="16"/>
  <c r="E8" i="16"/>
  <c r="D10" i="16"/>
  <c r="E11" i="16"/>
  <c r="D8" i="16"/>
  <c r="E14" i="16"/>
  <c r="D12" i="16"/>
  <c r="F7" i="16" l="1"/>
  <c r="F6" i="16"/>
  <c r="F19" i="16"/>
  <c r="F10" i="16"/>
  <c r="F14" i="16"/>
  <c r="F8" i="16"/>
  <c r="F9" i="16"/>
  <c r="F12" i="16"/>
  <c r="F13" i="16"/>
  <c r="F1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 Shmayev</author>
  </authors>
  <commentList>
    <comment ref="R2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Daniela Shmayev:</t>
        </r>
        <r>
          <rPr>
            <sz val="9"/>
            <color indexed="81"/>
            <rFont val="Tahoma"/>
            <family val="2"/>
          </rPr>
          <t xml:space="preserve">
Desde maio de 2014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 Shmayev</author>
  </authors>
  <commentList>
    <comment ref="P2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Daniela Shmayev:</t>
        </r>
        <r>
          <rPr>
            <sz val="9"/>
            <color indexed="81"/>
            <rFont val="Tahoma"/>
            <family val="2"/>
          </rPr>
          <t xml:space="preserve">
Semana passada = quinta passada até a sexta antepassada
Semana atual = sexta anterior até hoje</t>
        </r>
      </text>
    </comment>
    <comment ref="Q22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Daniela Shmayev:</t>
        </r>
        <r>
          <rPr>
            <sz val="9"/>
            <color indexed="81"/>
            <rFont val="Tahoma"/>
            <family val="2"/>
          </rPr>
          <t xml:space="preserve">
Semana passada = sexta passada até 21 antes (sexta)
Semana atual = hoje até 21 dias antes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S. Silva</author>
  </authors>
  <commentList>
    <comment ref="A4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NÃO RECEBEU SUGESTÕES - ou não existia post/cobrança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RECEBEU NOVAS SUGESTÕES</t>
        </r>
      </text>
    </comment>
    <comment ref="A43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ATUALIZADO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4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ATUALIZADO COM ATRASO/INCOMPLETO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5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NÃO ATUALIZOU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<sst xmlns="http://schemas.openxmlformats.org/spreadsheetml/2006/main" count="757" uniqueCount="166">
  <si>
    <t>Jogo</t>
  </si>
  <si>
    <t>Ticket</t>
  </si>
  <si>
    <t>Total</t>
  </si>
  <si>
    <t>PW</t>
  </si>
  <si>
    <t>Categoria</t>
  </si>
  <si>
    <t>Descrição</t>
  </si>
  <si>
    <t>Resposta</t>
  </si>
  <si>
    <t>SR</t>
  </si>
  <si>
    <t>-</t>
  </si>
  <si>
    <t>OK</t>
  </si>
  <si>
    <t>PD</t>
  </si>
  <si>
    <t>Bloqueio de Conta</t>
  </si>
  <si>
    <t>Denúncia</t>
  </si>
  <si>
    <t>SA</t>
  </si>
  <si>
    <t>Data Criação</t>
  </si>
  <si>
    <t>1w</t>
  </si>
  <si>
    <t>2w</t>
  </si>
  <si>
    <t>3w+</t>
  </si>
  <si>
    <t>Mês</t>
  </si>
  <si>
    <t>Info Adicional</t>
  </si>
  <si>
    <t>RS</t>
  </si>
  <si>
    <t>Recebidos</t>
  </si>
  <si>
    <t>Tradução/Descrição</t>
  </si>
  <si>
    <t>Dúvida/Sugestão/Elogio/Reclamação</t>
  </si>
  <si>
    <t>~1dia</t>
  </si>
  <si>
    <t>Bug/Missão/Restituição</t>
  </si>
  <si>
    <t>Eventos/Comunicação</t>
  </si>
  <si>
    <t>Tempo Máx</t>
  </si>
  <si>
    <t>Tickets Recebidos em Produtos</t>
  </si>
  <si>
    <t>pendente</t>
  </si>
  <si>
    <t>PD TKT</t>
  </si>
  <si>
    <t>PD PR</t>
  </si>
  <si>
    <t>Tempo Resposta</t>
  </si>
  <si>
    <t>Data Recebida</t>
  </si>
  <si>
    <t>1ª resp2</t>
  </si>
  <si>
    <t xml:space="preserve"> Data Resp.</t>
  </si>
  <si>
    <t>1ª Resp.</t>
  </si>
  <si>
    <t>Dia da semana</t>
  </si>
  <si>
    <t>Status</t>
  </si>
  <si>
    <t>Controle de Tickets</t>
  </si>
  <si>
    <t>Perdas</t>
  </si>
  <si>
    <t>Soma</t>
  </si>
  <si>
    <t>Quantidade de Pendências por Tempo</t>
  </si>
  <si>
    <t>Das Pendências são SR:</t>
  </si>
  <si>
    <t>Quantidade pendente (do recebimento em PR)</t>
  </si>
  <si>
    <t>Quantidade pendente (da abertura do Ticket)</t>
  </si>
  <si>
    <t>Tickets Recebidos</t>
  </si>
  <si>
    <t>Quantidade recebida em Produtos</t>
  </si>
  <si>
    <t>Tempo recebido em PR</t>
  </si>
  <si>
    <t>Tempo desde a abertura</t>
  </si>
  <si>
    <t>Ranking por tempo de pendência</t>
  </si>
  <si>
    <t>Recebido</t>
  </si>
  <si>
    <t xml:space="preserve">Relatório mês a mês por jogo: </t>
  </si>
  <si>
    <t>2dias+</t>
  </si>
  <si>
    <t>% Mês Anterior</t>
  </si>
  <si>
    <t>Total RS</t>
  </si>
  <si>
    <t>Total PD</t>
  </si>
  <si>
    <t>Quantidades por status e por Jogo</t>
  </si>
  <si>
    <t>Recebidos por jogo: últimos 3 meses + atual</t>
  </si>
  <si>
    <t>Jogos</t>
  </si>
  <si>
    <t>Categorias</t>
  </si>
  <si>
    <t>Bugs Conhecidos</t>
  </si>
  <si>
    <t>Sugestões</t>
  </si>
  <si>
    <t>Feedback de Sugestões</t>
  </si>
  <si>
    <t>Semana anterior</t>
  </si>
  <si>
    <t>Perda de prazos:</t>
  </si>
  <si>
    <t>Semana atual</t>
  </si>
  <si>
    <t>Perda de prazo</t>
  </si>
  <si>
    <t>Quantidade mensal de recebidos x Perdas (PD+SR)</t>
  </si>
  <si>
    <t>NÃO RECEBEU SUGESTÕES - ou não existia post/cobrança</t>
  </si>
  <si>
    <t>NÃO ATUALIZOU</t>
  </si>
  <si>
    <t>ATUALIZADO COM ATRASO/INCOMPLETO</t>
  </si>
  <si>
    <t>RECEBEU NOVAS SUGESTÕES</t>
  </si>
  <si>
    <t>ATUALIZADO</t>
  </si>
  <si>
    <t>Legenda</t>
  </si>
  <si>
    <t>Acompanhamento de RS</t>
  </si>
  <si>
    <t>1m</t>
  </si>
  <si>
    <t>3m+</t>
  </si>
  <si>
    <t>3m</t>
  </si>
  <si>
    <t>Legenda &gt;&gt; SR - Sem Resposta |PD - Pendentes | RS - Respondido (causa raiz/procedimento interno pendente) | OK - Fechado (resolvido em definitivo)</t>
  </si>
  <si>
    <t>EX1</t>
  </si>
  <si>
    <t>EX2</t>
  </si>
  <si>
    <t>EX3</t>
  </si>
  <si>
    <t>EX4</t>
  </si>
  <si>
    <t>EX5</t>
  </si>
  <si>
    <t>EX6</t>
  </si>
  <si>
    <t>EX7</t>
  </si>
  <si>
    <t>EX8</t>
  </si>
  <si>
    <t>12376</t>
  </si>
  <si>
    <t>12377</t>
  </si>
  <si>
    <t>12378</t>
  </si>
  <si>
    <t>12379</t>
  </si>
  <si>
    <t>12380</t>
  </si>
  <si>
    <t>12381</t>
  </si>
  <si>
    <t>12382</t>
  </si>
  <si>
    <t>12383</t>
  </si>
  <si>
    <t>12384</t>
  </si>
  <si>
    <t>12385</t>
  </si>
  <si>
    <t>12386</t>
  </si>
  <si>
    <t>12387</t>
  </si>
  <si>
    <t>12388</t>
  </si>
  <si>
    <t>12389</t>
  </si>
  <si>
    <t>12390</t>
  </si>
  <si>
    <t>12391</t>
  </si>
  <si>
    <t>12392</t>
  </si>
  <si>
    <t>12393</t>
  </si>
  <si>
    <t>12394</t>
  </si>
  <si>
    <t>12395</t>
  </si>
  <si>
    <t>12396</t>
  </si>
  <si>
    <t>12397</t>
  </si>
  <si>
    <t>12398</t>
  </si>
  <si>
    <t>12399</t>
  </si>
  <si>
    <t>12400</t>
  </si>
  <si>
    <t>12401</t>
  </si>
  <si>
    <t>12402</t>
  </si>
  <si>
    <t>12403</t>
  </si>
  <si>
    <t>12404</t>
  </si>
  <si>
    <t>12405</t>
  </si>
  <si>
    <t>12406</t>
  </si>
  <si>
    <t>12407</t>
  </si>
  <si>
    <t>12408</t>
  </si>
  <si>
    <t>12409</t>
  </si>
  <si>
    <t>12410</t>
  </si>
  <si>
    <t>12411</t>
  </si>
  <si>
    <t>12412</t>
  </si>
  <si>
    <t>12413</t>
  </si>
  <si>
    <t>12414</t>
  </si>
  <si>
    <t>12415</t>
  </si>
  <si>
    <t>12416</t>
  </si>
  <si>
    <t>12417</t>
  </si>
  <si>
    <t>12418</t>
  </si>
  <si>
    <t>12419</t>
  </si>
  <si>
    <t>12420</t>
  </si>
  <si>
    <t>12421</t>
  </si>
  <si>
    <t>12422</t>
  </si>
  <si>
    <t>12423</t>
  </si>
  <si>
    <t>12424</t>
  </si>
  <si>
    <t>12425</t>
  </si>
  <si>
    <t>12426</t>
  </si>
  <si>
    <t>12427</t>
  </si>
  <si>
    <t>12428</t>
  </si>
  <si>
    <t>12429</t>
  </si>
  <si>
    <t>12430</t>
  </si>
  <si>
    <t>12431</t>
  </si>
  <si>
    <t>12432</t>
  </si>
  <si>
    <t>12433</t>
  </si>
  <si>
    <t>12434</t>
  </si>
  <si>
    <t>12435</t>
  </si>
  <si>
    <t>12436</t>
  </si>
  <si>
    <t>12437</t>
  </si>
  <si>
    <t>12438</t>
  </si>
  <si>
    <t>12439</t>
  </si>
  <si>
    <t>12440</t>
  </si>
  <si>
    <t>12441</t>
  </si>
  <si>
    <t>Description</t>
  </si>
  <si>
    <t>Internal communication</t>
  </si>
  <si>
    <t>Optional</t>
  </si>
  <si>
    <t>Última atualização:  09/12/2019 16:00</t>
  </si>
  <si>
    <t>EX9</t>
  </si>
  <si>
    <t>EX10</t>
  </si>
  <si>
    <t>EX11</t>
  </si>
  <si>
    <t>EX12</t>
  </si>
  <si>
    <t>EX13</t>
  </si>
  <si>
    <t>EX14</t>
  </si>
  <si>
    <t>EX15</t>
  </si>
  <si>
    <t>EX16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</si>
</sst>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/m/yyyy"/>
    <numFmt numFmtId="165" formatCode="[$-416]mmm\-yy;@"/>
    <numFmt numFmtId="166" formatCode="[$-416]d\-mmm;@"/>
    <numFmt numFmtId="167" formatCode="0.0%"/>
    <numFmt numFmtId="168" formatCode="m/d/yyyy;@"/>
  </numFmts>
  <fonts count="3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u/>
      <sz val="11"/>
      <color indexed="12"/>
      <name val="Calibri"/>
      <family val="2"/>
    </font>
    <font>
      <b/>
      <sz val="11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sz val="10"/>
      <color theme="0"/>
      <name val="Arial"/>
      <family val="2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</font>
    <font>
      <sz val="10"/>
      <name val="Arial Unicode M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</font>
    <font>
      <sz val="11"/>
      <color theme="9" tint="0.39997558519241921"/>
      <name val="Calibri"/>
      <family val="2"/>
    </font>
    <font>
      <sz val="11"/>
      <color rgb="FF7030A0"/>
      <name val="Calibri"/>
      <family val="2"/>
    </font>
    <font>
      <sz val="11"/>
      <color theme="4"/>
      <name val="Calibri"/>
      <family val="2"/>
    </font>
    <font>
      <sz val="10"/>
      <name val="Arial"/>
      <family val="2"/>
    </font>
    <font>
      <sz val="8"/>
      <name val="Arial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0"/>
        </stop>
        <stop position="1">
          <color theme="0" tint="-0.25098422193060094"/>
        </stop>
      </gradientFill>
    </fill>
    <fill>
      <gradientFill degree="9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3"/>
        <bgColor auto="1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7">
    <xf numFmtId="0" fontId="0" fillId="0" borderId="0"/>
    <xf numFmtId="0" fontId="7" fillId="0" borderId="0"/>
    <xf numFmtId="0" fontId="7" fillId="0" borderId="0"/>
    <xf numFmtId="9" fontId="9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5" fillId="0" borderId="0"/>
    <xf numFmtId="0" fontId="4" fillId="0" borderId="0"/>
    <xf numFmtId="0" fontId="7" fillId="0" borderId="0"/>
    <xf numFmtId="0" fontId="3" fillId="0" borderId="0"/>
    <xf numFmtId="0" fontId="7" fillId="0" borderId="0"/>
    <xf numFmtId="9" fontId="7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17" fillId="0" borderId="0"/>
    <xf numFmtId="0" fontId="7" fillId="0" borderId="0"/>
    <xf numFmtId="0" fontId="2" fillId="0" borderId="0"/>
    <xf numFmtId="0" fontId="22" fillId="0" borderId="0"/>
    <xf numFmtId="9" fontId="7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</cellStyleXfs>
  <cellXfs count="255">
    <xf numFmtId="0" fontId="0" fillId="0" borderId="0" xfId="0"/>
    <xf numFmtId="0" fontId="0" fillId="2" borderId="0" xfId="0" applyFill="1"/>
    <xf numFmtId="0" fontId="0" fillId="2" borderId="0" xfId="0" applyFill="1" applyProtection="1">
      <protection hidden="1"/>
    </xf>
    <xf numFmtId="0" fontId="7" fillId="4" borderId="3" xfId="0" applyFont="1" applyFill="1" applyBorder="1" applyAlignment="1" applyProtection="1">
      <alignment horizontal="center" vertical="center"/>
      <protection hidden="1"/>
    </xf>
    <xf numFmtId="0" fontId="7" fillId="4" borderId="5" xfId="0" applyFont="1" applyFill="1" applyBorder="1" applyAlignment="1" applyProtection="1">
      <alignment horizontal="center" vertical="center"/>
      <protection hidden="1"/>
    </xf>
    <xf numFmtId="0" fontId="7" fillId="3" borderId="4" xfId="0" applyFont="1" applyFill="1" applyBorder="1" applyAlignment="1" applyProtection="1">
      <alignment horizontal="center"/>
      <protection hidden="1"/>
    </xf>
    <xf numFmtId="0" fontId="7" fillId="5" borderId="3" xfId="0" applyFont="1" applyFill="1" applyBorder="1" applyAlignment="1" applyProtection="1">
      <alignment horizontal="center" vertical="center"/>
      <protection hidden="1"/>
    </xf>
    <xf numFmtId="0" fontId="0" fillId="6" borderId="0" xfId="0" applyFill="1" applyProtection="1">
      <protection hidden="1"/>
    </xf>
    <xf numFmtId="49" fontId="15" fillId="2" borderId="0" xfId="0" applyNumberFormat="1" applyFont="1" applyFill="1" applyProtection="1">
      <protection locked="0"/>
    </xf>
    <xf numFmtId="49" fontId="15" fillId="2" borderId="0" xfId="0" applyNumberFormat="1" applyFont="1" applyFill="1" applyAlignment="1" applyProtection="1">
      <alignment horizontal="center" vertical="center"/>
      <protection locked="0"/>
    </xf>
    <xf numFmtId="49" fontId="15" fillId="0" borderId="0" xfId="0" applyNumberFormat="1" applyFont="1" applyAlignment="1" applyProtection="1">
      <alignment horizontal="center" vertical="center"/>
      <protection locked="0"/>
    </xf>
    <xf numFmtId="49" fontId="15" fillId="0" borderId="0" xfId="0" applyNumberFormat="1" applyFont="1" applyProtection="1">
      <protection locked="0"/>
    </xf>
    <xf numFmtId="0" fontId="10" fillId="7" borderId="0" xfId="0" applyFont="1" applyFill="1" applyBorder="1" applyAlignment="1" applyProtection="1">
      <alignment vertical="center" wrapText="1"/>
      <protection hidden="1"/>
    </xf>
    <xf numFmtId="0" fontId="7" fillId="2" borderId="0" xfId="0" applyFont="1" applyFill="1"/>
    <xf numFmtId="0" fontId="7" fillId="3" borderId="6" xfId="0" applyFont="1" applyFill="1" applyBorder="1" applyAlignment="1" applyProtection="1">
      <alignment horizontal="center"/>
      <protection hidden="1"/>
    </xf>
    <xf numFmtId="0" fontId="7" fillId="2" borderId="0" xfId="0" applyFont="1" applyFill="1" applyProtection="1">
      <protection hidden="1"/>
    </xf>
    <xf numFmtId="0" fontId="18" fillId="2" borderId="0" xfId="0" applyFont="1" applyFill="1" applyProtection="1">
      <protection hidden="1"/>
    </xf>
    <xf numFmtId="3" fontId="18" fillId="2" borderId="0" xfId="0" applyNumberFormat="1" applyFont="1" applyFill="1" applyProtection="1">
      <protection hidden="1"/>
    </xf>
    <xf numFmtId="0" fontId="18" fillId="2" borderId="0" xfId="0" applyFont="1" applyFill="1"/>
    <xf numFmtId="0" fontId="7" fillId="3" borderId="4" xfId="0" applyNumberFormat="1" applyFont="1" applyFill="1" applyBorder="1" applyAlignment="1" applyProtection="1">
      <alignment horizontal="center"/>
      <protection hidden="1"/>
    </xf>
    <xf numFmtId="3" fontId="7" fillId="3" borderId="4" xfId="0" applyNumberFormat="1" applyFont="1" applyFill="1" applyBorder="1" applyAlignment="1" applyProtection="1">
      <alignment horizontal="center" vertical="center"/>
      <protection hidden="1"/>
    </xf>
    <xf numFmtId="0" fontId="7" fillId="5" borderId="1" xfId="0" applyFont="1" applyFill="1" applyBorder="1" applyAlignment="1" applyProtection="1">
      <alignment horizontal="center" vertical="center"/>
      <protection hidden="1"/>
    </xf>
    <xf numFmtId="0" fontId="0" fillId="2" borderId="0" xfId="0" applyFill="1" applyBorder="1" applyProtection="1">
      <protection hidden="1"/>
    </xf>
    <xf numFmtId="0" fontId="0" fillId="2" borderId="0" xfId="0" applyFill="1" applyBorder="1"/>
    <xf numFmtId="49" fontId="7" fillId="3" borderId="6" xfId="0" applyNumberFormat="1" applyFont="1" applyFill="1" applyBorder="1" applyAlignment="1" applyProtection="1">
      <alignment horizontal="center"/>
      <protection hidden="1"/>
    </xf>
    <xf numFmtId="166" fontId="18" fillId="2" borderId="0" xfId="0" applyNumberFormat="1" applyFont="1" applyFill="1" applyProtection="1">
      <protection hidden="1"/>
    </xf>
    <xf numFmtId="0" fontId="7" fillId="4" borderId="1" xfId="0" applyFont="1" applyFill="1" applyBorder="1" applyAlignment="1" applyProtection="1">
      <alignment horizontal="center" vertical="center"/>
      <protection hidden="1"/>
    </xf>
    <xf numFmtId="0" fontId="10" fillId="3" borderId="4" xfId="0" applyFont="1" applyFill="1" applyBorder="1" applyAlignment="1" applyProtection="1">
      <alignment horizontal="center"/>
      <protection hidden="1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7" fillId="3" borderId="1" xfId="0" applyFont="1" applyFill="1" applyBorder="1" applyAlignment="1" applyProtection="1">
      <alignment horizontal="center" vertical="center"/>
      <protection hidden="1"/>
    </xf>
    <xf numFmtId="0" fontId="10" fillId="3" borderId="6" xfId="0" applyFont="1" applyFill="1" applyBorder="1" applyAlignment="1" applyProtection="1">
      <alignment horizontal="center" vertical="center"/>
      <protection hidden="1"/>
    </xf>
    <xf numFmtId="3" fontId="7" fillId="3" borderId="3" xfId="0" applyNumberFormat="1" applyFont="1" applyFill="1" applyBorder="1" applyAlignment="1" applyProtection="1">
      <alignment horizontal="center" vertical="center"/>
      <protection hidden="1"/>
    </xf>
    <xf numFmtId="0" fontId="7" fillId="3" borderId="1" xfId="0" applyNumberFormat="1" applyFont="1" applyFill="1" applyBorder="1" applyAlignment="1" applyProtection="1">
      <alignment horizontal="center" vertical="center"/>
      <protection hidden="1"/>
    </xf>
    <xf numFmtId="0" fontId="7" fillId="3" borderId="12" xfId="0" applyNumberFormat="1" applyFont="1" applyFill="1" applyBorder="1" applyAlignment="1" applyProtection="1">
      <alignment horizontal="center" vertical="center"/>
      <protection hidden="1"/>
    </xf>
    <xf numFmtId="3" fontId="7" fillId="3" borderId="1" xfId="0" applyNumberFormat="1" applyFont="1" applyFill="1" applyBorder="1" applyAlignment="1" applyProtection="1">
      <alignment horizontal="center" vertical="center"/>
      <protection hidden="1"/>
    </xf>
    <xf numFmtId="0" fontId="7" fillId="3" borderId="7" xfId="3" applyNumberFormat="1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Border="1" applyProtection="1">
      <protection hidden="1"/>
    </xf>
    <xf numFmtId="3" fontId="7" fillId="6" borderId="4" xfId="0" applyNumberFormat="1" applyFont="1" applyFill="1" applyBorder="1" applyAlignment="1" applyProtection="1">
      <alignment horizontal="center" vertical="center"/>
      <protection hidden="1"/>
    </xf>
    <xf numFmtId="0" fontId="10" fillId="6" borderId="4" xfId="0" applyFont="1" applyFill="1" applyBorder="1" applyAlignment="1" applyProtection="1">
      <alignment horizontal="center"/>
      <protection hidden="1"/>
    </xf>
    <xf numFmtId="0" fontId="7" fillId="6" borderId="4" xfId="0" applyFont="1" applyFill="1" applyBorder="1" applyAlignment="1" applyProtection="1">
      <alignment horizontal="center"/>
      <protection hidden="1"/>
    </xf>
    <xf numFmtId="0" fontId="7" fillId="6" borderId="6" xfId="0" applyFont="1" applyFill="1" applyBorder="1" applyAlignment="1" applyProtection="1">
      <alignment horizontal="center"/>
      <protection hidden="1"/>
    </xf>
    <xf numFmtId="0" fontId="7" fillId="6" borderId="2" xfId="0" applyFont="1" applyFill="1" applyBorder="1" applyAlignment="1" applyProtection="1">
      <alignment horizontal="center"/>
      <protection hidden="1"/>
    </xf>
    <xf numFmtId="0" fontId="10" fillId="6" borderId="8" xfId="0" applyFont="1" applyFill="1" applyBorder="1" applyAlignment="1" applyProtection="1">
      <alignment horizontal="center" vertical="center"/>
      <protection hidden="1"/>
    </xf>
    <xf numFmtId="0" fontId="10" fillId="6" borderId="6" xfId="0" applyFont="1" applyFill="1" applyBorder="1" applyAlignment="1" applyProtection="1">
      <alignment horizontal="center" vertical="center"/>
      <protection hidden="1"/>
    </xf>
    <xf numFmtId="0" fontId="10" fillId="6" borderId="5" xfId="0" applyFont="1" applyFill="1" applyBorder="1" applyAlignment="1" applyProtection="1">
      <alignment horizontal="center"/>
      <protection hidden="1"/>
    </xf>
    <xf numFmtId="3" fontId="7" fillId="6" borderId="2" xfId="0" applyNumberFormat="1" applyFont="1" applyFill="1" applyBorder="1" applyAlignment="1" applyProtection="1">
      <alignment horizontal="center" vertical="center"/>
      <protection hidden="1"/>
    </xf>
    <xf numFmtId="3" fontId="7" fillId="6" borderId="3" xfId="0" applyNumberFormat="1" applyFont="1" applyFill="1" applyBorder="1" applyAlignment="1" applyProtection="1">
      <alignment horizontal="center" vertical="center"/>
      <protection hidden="1"/>
    </xf>
    <xf numFmtId="0" fontId="7" fillId="6" borderId="8" xfId="0" applyFont="1" applyFill="1" applyBorder="1" applyAlignment="1" applyProtection="1">
      <alignment horizontal="center"/>
      <protection hidden="1"/>
    </xf>
    <xf numFmtId="49" fontId="7" fillId="6" borderId="4" xfId="0" applyNumberFormat="1" applyFont="1" applyFill="1" applyBorder="1" applyAlignment="1" applyProtection="1">
      <alignment horizontal="center"/>
      <protection hidden="1"/>
    </xf>
    <xf numFmtId="0" fontId="7" fillId="6" borderId="4" xfId="0" applyNumberFormat="1" applyFont="1" applyFill="1" applyBorder="1" applyAlignment="1" applyProtection="1">
      <alignment horizontal="center"/>
      <protection hidden="1"/>
    </xf>
    <xf numFmtId="0" fontId="7" fillId="6" borderId="6" xfId="0" applyNumberFormat="1" applyFont="1" applyFill="1" applyBorder="1" applyAlignment="1" applyProtection="1">
      <alignment horizontal="center"/>
      <protection hidden="1"/>
    </xf>
    <xf numFmtId="0" fontId="7" fillId="6" borderId="2" xfId="0" applyNumberFormat="1" applyFont="1" applyFill="1" applyBorder="1" applyAlignment="1" applyProtection="1">
      <alignment horizontal="center"/>
      <protection hidden="1"/>
    </xf>
    <xf numFmtId="0" fontId="7" fillId="6" borderId="7" xfId="3" applyNumberFormat="1" applyFont="1" applyFill="1" applyBorder="1" applyAlignment="1" applyProtection="1">
      <alignment horizontal="center" vertical="center"/>
      <protection hidden="1"/>
    </xf>
    <xf numFmtId="0" fontId="7" fillId="6" borderId="10" xfId="3" applyNumberFormat="1" applyFont="1" applyFill="1" applyBorder="1" applyAlignment="1" applyProtection="1">
      <alignment horizontal="center" vertical="center"/>
      <protection hidden="1"/>
    </xf>
    <xf numFmtId="0" fontId="7" fillId="6" borderId="11" xfId="3" applyNumberFormat="1" applyFont="1" applyFill="1" applyBorder="1" applyAlignment="1" applyProtection="1">
      <alignment horizontal="center" vertical="center"/>
      <protection hidden="1"/>
    </xf>
    <xf numFmtId="0" fontId="7" fillId="3" borderId="14" xfId="3" applyNumberFormat="1" applyFont="1" applyFill="1" applyBorder="1" applyAlignment="1" applyProtection="1">
      <alignment horizontal="center" vertical="center"/>
      <protection hidden="1"/>
    </xf>
    <xf numFmtId="0" fontId="18" fillId="2" borderId="0" xfId="3" applyNumberFormat="1" applyFont="1" applyFill="1" applyAlignment="1">
      <alignment horizontal="center"/>
    </xf>
    <xf numFmtId="0" fontId="18" fillId="2" borderId="0" xfId="0" applyNumberFormat="1" applyFont="1" applyFill="1"/>
    <xf numFmtId="3" fontId="18" fillId="2" borderId="0" xfId="0" applyNumberFormat="1" applyFont="1" applyFill="1"/>
    <xf numFmtId="0" fontId="7" fillId="6" borderId="2" xfId="0" applyNumberFormat="1" applyFont="1" applyFill="1" applyBorder="1" applyAlignment="1" applyProtection="1">
      <alignment horizontal="center" vertical="center"/>
      <protection hidden="1"/>
    </xf>
    <xf numFmtId="0" fontId="7" fillId="6" borderId="4" xfId="0" applyNumberFormat="1" applyFont="1" applyFill="1" applyBorder="1" applyAlignment="1" applyProtection="1">
      <alignment horizontal="center" vertical="center"/>
      <protection hidden="1"/>
    </xf>
    <xf numFmtId="0" fontId="7" fillId="3" borderId="4" xfId="0" applyNumberFormat="1" applyFont="1" applyFill="1" applyBorder="1" applyAlignment="1" applyProtection="1">
      <alignment horizontal="center" vertical="center"/>
      <protection hidden="1"/>
    </xf>
    <xf numFmtId="0" fontId="7" fillId="6" borderId="3" xfId="0" applyNumberFormat="1" applyFont="1" applyFill="1" applyBorder="1" applyAlignment="1" applyProtection="1">
      <alignment horizontal="center" vertical="center"/>
      <protection hidden="1"/>
    </xf>
    <xf numFmtId="0" fontId="7" fillId="4" borderId="3" xfId="20" applyFont="1" applyFill="1" applyBorder="1" applyAlignment="1" applyProtection="1">
      <alignment horizontal="center" vertical="center"/>
      <protection hidden="1"/>
    </xf>
    <xf numFmtId="0" fontId="7" fillId="5" borderId="3" xfId="20" applyFont="1" applyFill="1" applyBorder="1" applyAlignment="1" applyProtection="1">
      <alignment horizontal="center" vertical="center"/>
      <protection hidden="1"/>
    </xf>
    <xf numFmtId="0" fontId="10" fillId="3" borderId="4" xfId="20" applyFont="1" applyFill="1" applyBorder="1" applyAlignment="1" applyProtection="1">
      <alignment horizontal="center"/>
      <protection hidden="1"/>
    </xf>
    <xf numFmtId="0" fontId="10" fillId="6" borderId="4" xfId="20" applyFont="1" applyFill="1" applyBorder="1" applyAlignment="1" applyProtection="1">
      <alignment horizontal="center"/>
      <protection hidden="1"/>
    </xf>
    <xf numFmtId="0" fontId="10" fillId="6" borderId="6" xfId="0" applyFont="1" applyFill="1" applyBorder="1" applyAlignment="1" applyProtection="1">
      <alignment horizontal="center"/>
      <protection hidden="1"/>
    </xf>
    <xf numFmtId="165" fontId="7" fillId="4" borderId="3" xfId="20" applyNumberFormat="1" applyFont="1" applyFill="1" applyBorder="1" applyAlignment="1" applyProtection="1">
      <alignment horizontal="center" vertical="center"/>
      <protection hidden="1"/>
    </xf>
    <xf numFmtId="9" fontId="0" fillId="2" borderId="0" xfId="3" applyFont="1" applyFill="1"/>
    <xf numFmtId="165" fontId="0" fillId="2" borderId="0" xfId="0" applyNumberFormat="1" applyFill="1"/>
    <xf numFmtId="0" fontId="7" fillId="6" borderId="6" xfId="0" quotePrefix="1" applyNumberFormat="1" applyFont="1" applyFill="1" applyBorder="1" applyAlignment="1" applyProtection="1">
      <alignment horizontal="center"/>
      <protection hidden="1"/>
    </xf>
    <xf numFmtId="165" fontId="13" fillId="3" borderId="6" xfId="0" applyNumberFormat="1" applyFont="1" applyFill="1" applyBorder="1" applyAlignment="1" applyProtection="1">
      <alignment horizontal="center" vertical="center"/>
      <protection hidden="1"/>
    </xf>
    <xf numFmtId="165" fontId="13" fillId="6" borderId="6" xfId="0" applyNumberFormat="1" applyFont="1" applyFill="1" applyBorder="1" applyAlignment="1" applyProtection="1">
      <alignment horizontal="center" vertical="center"/>
      <protection hidden="1"/>
    </xf>
    <xf numFmtId="165" fontId="13" fillId="6" borderId="8" xfId="0" applyNumberFormat="1" applyFont="1" applyFill="1" applyBorder="1" applyAlignment="1" applyProtection="1">
      <alignment horizontal="center" vertical="center"/>
      <protection hidden="1"/>
    </xf>
    <xf numFmtId="0" fontId="10" fillId="3" borderId="12" xfId="0" applyFont="1" applyFill="1" applyBorder="1" applyAlignment="1" applyProtection="1">
      <alignment horizontal="center" vertical="center"/>
      <protection hidden="1"/>
    </xf>
    <xf numFmtId="165" fontId="13" fillId="6" borderId="5" xfId="0" applyNumberFormat="1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Alignment="1">
      <alignment horizontal="center"/>
    </xf>
    <xf numFmtId="14" fontId="13" fillId="3" borderId="12" xfId="0" applyNumberFormat="1" applyFont="1" applyFill="1" applyBorder="1" applyAlignment="1" applyProtection="1">
      <alignment horizontal="center" vertical="center"/>
      <protection hidden="1"/>
    </xf>
    <xf numFmtId="0" fontId="7" fillId="3" borderId="14" xfId="3" applyNumberFormat="1" applyFont="1" applyFill="1" applyBorder="1" applyAlignment="1" applyProtection="1">
      <alignment horizontal="center"/>
      <protection hidden="1"/>
    </xf>
    <xf numFmtId="167" fontId="0" fillId="2" borderId="0" xfId="3" applyNumberFormat="1" applyFont="1" applyFill="1"/>
    <xf numFmtId="0" fontId="7" fillId="2" borderId="0" xfId="0" applyNumberFormat="1" applyFont="1" applyFill="1" applyAlignment="1">
      <alignment horizontal="center"/>
    </xf>
    <xf numFmtId="0" fontId="7" fillId="5" borderId="11" xfId="0" applyFont="1" applyFill="1" applyBorder="1" applyAlignment="1" applyProtection="1">
      <alignment horizontal="center" vertical="center" wrapText="1"/>
      <protection hidden="1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7" fillId="5" borderId="12" xfId="0" applyFont="1" applyFill="1" applyBorder="1" applyAlignment="1" applyProtection="1">
      <alignment horizontal="center" vertical="center"/>
      <protection hidden="1"/>
    </xf>
    <xf numFmtId="0" fontId="7" fillId="3" borderId="12" xfId="0" applyFont="1" applyFill="1" applyBorder="1" applyAlignment="1" applyProtection="1">
      <alignment horizontal="center" vertical="center"/>
      <protection hidden="1"/>
    </xf>
    <xf numFmtId="0" fontId="7" fillId="5" borderId="5" xfId="0" applyFont="1" applyFill="1" applyBorder="1" applyAlignment="1" applyProtection="1">
      <alignment horizontal="center" vertical="center"/>
      <protection hidden="1"/>
    </xf>
    <xf numFmtId="49" fontId="15" fillId="2" borderId="0" xfId="0" applyNumberFormat="1" applyFont="1" applyFill="1" applyProtection="1">
      <protection hidden="1"/>
    </xf>
    <xf numFmtId="0" fontId="18" fillId="2" borderId="0" xfId="0" applyFont="1" applyFill="1" applyAlignment="1" applyProtection="1">
      <alignment horizontal="center"/>
      <protection hidden="1"/>
    </xf>
    <xf numFmtId="0" fontId="14" fillId="2" borderId="0" xfId="0" applyFont="1" applyFill="1" applyAlignment="1" applyProtection="1">
      <alignment horizontal="center" vertical="center"/>
      <protection locked="0"/>
    </xf>
    <xf numFmtId="14" fontId="15" fillId="2" borderId="0" xfId="0" applyNumberFormat="1" applyFont="1" applyFill="1" applyAlignment="1" applyProtection="1">
      <alignment wrapText="1"/>
      <protection locked="0"/>
    </xf>
    <xf numFmtId="49" fontId="15" fillId="2" borderId="0" xfId="0" applyNumberFormat="1" applyFont="1" applyFill="1" applyBorder="1" applyProtection="1">
      <protection locked="0"/>
    </xf>
    <xf numFmtId="14" fontId="15" fillId="2" borderId="0" xfId="0" applyNumberFormat="1" applyFont="1" applyFill="1" applyProtection="1">
      <protection locked="0"/>
    </xf>
    <xf numFmtId="14" fontId="15" fillId="2" borderId="0" xfId="0" applyNumberFormat="1" applyFont="1" applyFill="1" applyAlignment="1" applyProtection="1">
      <alignment horizontal="center"/>
      <protection locked="0"/>
    </xf>
    <xf numFmtId="49" fontId="11" fillId="6" borderId="15" xfId="4" applyNumberFormat="1" applyFill="1" applyBorder="1" applyAlignment="1" applyProtection="1">
      <alignment horizontal="center" vertical="center"/>
      <protection locked="0"/>
    </xf>
    <xf numFmtId="14" fontId="15" fillId="6" borderId="15" xfId="0" applyNumberFormat="1" applyFont="1" applyFill="1" applyBorder="1" applyAlignment="1" applyProtection="1">
      <alignment horizontal="center" vertical="center"/>
      <protection locked="0"/>
    </xf>
    <xf numFmtId="49" fontId="15" fillId="6" borderId="15" xfId="1" applyNumberFormat="1" applyFont="1" applyFill="1" applyBorder="1" applyAlignment="1" applyProtection="1">
      <alignment horizontal="center" vertical="center" wrapText="1"/>
      <protection locked="0"/>
    </xf>
    <xf numFmtId="14" fontId="15" fillId="6" borderId="15" xfId="0" applyNumberFormat="1" applyFont="1" applyFill="1" applyBorder="1" applyAlignment="1" applyProtection="1">
      <alignment horizontal="center" vertical="center" wrapText="1"/>
      <protection locked="0"/>
    </xf>
    <xf numFmtId="0" fontId="15" fillId="6" borderId="15" xfId="0" quotePrefix="1" applyNumberFormat="1" applyFont="1" applyFill="1" applyBorder="1" applyAlignment="1" applyProtection="1">
      <alignment horizontal="center" vertical="center"/>
      <protection hidden="1"/>
    </xf>
    <xf numFmtId="0" fontId="19" fillId="6" borderId="15" xfId="0" applyNumberFormat="1" applyFont="1" applyFill="1" applyBorder="1" applyAlignment="1" applyProtection="1">
      <alignment horizontal="center" vertical="center"/>
      <protection hidden="1"/>
    </xf>
    <xf numFmtId="0" fontId="19" fillId="6" borderId="15" xfId="0" quotePrefix="1" applyNumberFormat="1" applyFont="1" applyFill="1" applyBorder="1" applyAlignment="1" applyProtection="1">
      <alignment horizontal="center" vertical="center"/>
      <protection hidden="1"/>
    </xf>
    <xf numFmtId="0" fontId="15" fillId="6" borderId="15" xfId="0" applyNumberFormat="1" applyFont="1" applyFill="1" applyBorder="1" applyAlignment="1" applyProtection="1">
      <alignment horizontal="center" vertical="center"/>
      <protection hidden="1"/>
    </xf>
    <xf numFmtId="164" fontId="15" fillId="6" borderId="15" xfId="0" applyNumberFormat="1" applyFont="1" applyFill="1" applyBorder="1" applyAlignment="1" applyProtection="1">
      <alignment horizontal="center" vertical="center" wrapText="1"/>
      <protection locked="0"/>
    </xf>
    <xf numFmtId="14" fontId="15" fillId="6" borderId="15" xfId="0" quotePrefix="1" applyNumberFormat="1" applyFont="1" applyFill="1" applyBorder="1" applyAlignment="1" applyProtection="1">
      <alignment horizontal="center" vertical="center" wrapText="1"/>
      <protection locked="0"/>
    </xf>
    <xf numFmtId="49" fontId="15" fillId="6" borderId="15" xfId="0" applyNumberFormat="1" applyFont="1" applyFill="1" applyBorder="1" applyAlignment="1" applyProtection="1">
      <alignment horizontal="center" vertical="center" wrapText="1"/>
      <protection locked="0"/>
    </xf>
    <xf numFmtId="0" fontId="16" fillId="6" borderId="15" xfId="4" applyNumberFormat="1" applyFont="1" applyFill="1" applyBorder="1" applyAlignment="1" applyProtection="1">
      <alignment horizontal="center" vertical="center" wrapText="1"/>
      <protection locked="0"/>
    </xf>
    <xf numFmtId="0" fontId="10" fillId="4" borderId="14" xfId="0" applyFont="1" applyFill="1" applyBorder="1" applyAlignment="1" applyProtection="1">
      <alignment horizontal="center" vertical="center"/>
      <protection locked="0"/>
    </xf>
    <xf numFmtId="0" fontId="7" fillId="5" borderId="12" xfId="0" applyFont="1" applyFill="1" applyBorder="1" applyAlignment="1" applyProtection="1">
      <alignment horizontal="center" vertical="center"/>
      <protection hidden="1"/>
    </xf>
    <xf numFmtId="0" fontId="10" fillId="5" borderId="12" xfId="0" applyFont="1" applyFill="1" applyBorder="1" applyAlignment="1" applyProtection="1">
      <alignment horizontal="center" vertical="center"/>
      <protection hidden="1"/>
    </xf>
    <xf numFmtId="0" fontId="26" fillId="5" borderId="1" xfId="0" applyFont="1" applyFill="1" applyBorder="1" applyAlignment="1" applyProtection="1">
      <alignment horizontal="center" vertical="center" wrapText="1"/>
      <protection hidden="1"/>
    </xf>
    <xf numFmtId="0" fontId="10" fillId="5" borderId="1" xfId="0" applyFont="1" applyFill="1" applyBorder="1" applyAlignment="1" applyProtection="1">
      <alignment horizontal="center" vertical="center"/>
      <protection hidden="1"/>
    </xf>
    <xf numFmtId="0" fontId="27" fillId="6" borderId="6" xfId="0" applyFont="1" applyFill="1" applyBorder="1" applyAlignment="1">
      <alignment horizontal="center" vertical="center"/>
    </xf>
    <xf numFmtId="0" fontId="28" fillId="6" borderId="4" xfId="0" applyFont="1" applyFill="1" applyBorder="1" applyAlignment="1">
      <alignment horizontal="center" vertical="center"/>
    </xf>
    <xf numFmtId="0" fontId="28" fillId="6" borderId="7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8" fillId="2" borderId="4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7" fillId="6" borderId="5" xfId="0" applyFont="1" applyFill="1" applyBorder="1" applyAlignment="1">
      <alignment horizontal="center" vertical="center"/>
    </xf>
    <xf numFmtId="0" fontId="28" fillId="6" borderId="3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7" fillId="5" borderId="13" xfId="0" applyFont="1" applyFill="1" applyBorder="1" applyAlignment="1" applyProtection="1">
      <alignment vertical="center"/>
      <protection hidden="1"/>
    </xf>
    <xf numFmtId="166" fontId="7" fillId="5" borderId="1" xfId="0" applyNumberFormat="1" applyFont="1" applyFill="1" applyBorder="1" applyAlignment="1" applyProtection="1">
      <alignment horizontal="center" vertical="center"/>
      <protection hidden="1"/>
    </xf>
    <xf numFmtId="166" fontId="7" fillId="5" borderId="11" xfId="0" applyNumberFormat="1" applyFont="1" applyFill="1" applyBorder="1" applyAlignment="1" applyProtection="1">
      <alignment horizontal="center" vertical="center"/>
      <protection hidden="1"/>
    </xf>
    <xf numFmtId="166" fontId="7" fillId="5" borderId="2" xfId="0" applyNumberFormat="1" applyFont="1" applyFill="1" applyBorder="1" applyAlignment="1" applyProtection="1">
      <alignment horizontal="center" vertical="center"/>
      <protection hidden="1"/>
    </xf>
    <xf numFmtId="166" fontId="7" fillId="5" borderId="8" xfId="0" applyNumberFormat="1" applyFont="1" applyFill="1" applyBorder="1" applyAlignment="1" applyProtection="1">
      <alignment horizontal="center" vertical="center"/>
      <protection hidden="1"/>
    </xf>
    <xf numFmtId="0" fontId="27" fillId="2" borderId="1" xfId="0" applyFont="1" applyFill="1" applyBorder="1" applyAlignment="1">
      <alignment horizontal="center" vertical="center"/>
    </xf>
    <xf numFmtId="166" fontId="7" fillId="5" borderId="14" xfId="0" applyNumberFormat="1" applyFont="1" applyFill="1" applyBorder="1" applyAlignment="1" applyProtection="1">
      <alignment horizontal="center" vertical="center"/>
      <protection hidden="1"/>
    </xf>
    <xf numFmtId="166" fontId="7" fillId="5" borderId="12" xfId="0" applyNumberFormat="1" applyFont="1" applyFill="1" applyBorder="1" applyAlignment="1" applyProtection="1">
      <alignment horizontal="center" vertical="center"/>
      <protection hidden="1"/>
    </xf>
    <xf numFmtId="0" fontId="25" fillId="2" borderId="3" xfId="0" applyFont="1" applyFill="1" applyBorder="1" applyAlignment="1">
      <alignment horizontal="center"/>
    </xf>
    <xf numFmtId="0" fontId="0" fillId="10" borderId="1" xfId="0" applyFill="1" applyBorder="1"/>
    <xf numFmtId="0" fontId="7" fillId="2" borderId="0" xfId="0" quotePrefix="1" applyFont="1" applyFill="1" applyAlignment="1">
      <alignment horizontal="center" wrapText="1"/>
    </xf>
    <xf numFmtId="0" fontId="0" fillId="2" borderId="0" xfId="0" applyNumberFormat="1" applyFill="1"/>
    <xf numFmtId="0" fontId="0" fillId="2" borderId="0" xfId="0" applyFill="1" applyAlignment="1">
      <alignment horizontal="center"/>
    </xf>
    <xf numFmtId="0" fontId="30" fillId="0" borderId="0" xfId="0" applyFont="1" applyAlignment="1">
      <alignment vertical="center"/>
    </xf>
    <xf numFmtId="49" fontId="7" fillId="3" borderId="12" xfId="0" applyNumberFormat="1" applyFont="1" applyFill="1" applyBorder="1" applyAlignment="1" applyProtection="1">
      <alignment horizontal="center" vertical="center"/>
      <protection hidden="1"/>
    </xf>
    <xf numFmtId="49" fontId="7" fillId="3" borderId="1" xfId="0" applyNumberFormat="1" applyFont="1" applyFill="1" applyBorder="1" applyAlignment="1" applyProtection="1">
      <alignment horizontal="center" vertical="center"/>
      <protection hidden="1"/>
    </xf>
    <xf numFmtId="49" fontId="7" fillId="6" borderId="4" xfId="0" applyNumberFormat="1" applyFont="1" applyFill="1" applyBorder="1" applyAlignment="1" applyProtection="1">
      <alignment horizontal="center" wrapText="1"/>
      <protection hidden="1"/>
    </xf>
    <xf numFmtId="0" fontId="0" fillId="2" borderId="0" xfId="0" applyNumberFormat="1" applyFill="1" applyProtection="1">
      <protection hidden="1"/>
    </xf>
    <xf numFmtId="49" fontId="15" fillId="2" borderId="15" xfId="0" applyNumberFormat="1" applyFont="1" applyFill="1" applyBorder="1" applyAlignment="1" applyProtection="1">
      <alignment horizontal="center" vertical="center"/>
      <protection locked="0"/>
    </xf>
    <xf numFmtId="49" fontId="15" fillId="0" borderId="15" xfId="0" applyNumberFormat="1" applyFont="1" applyBorder="1" applyAlignment="1" applyProtection="1">
      <alignment horizontal="center" vertical="center"/>
      <protection locked="0"/>
    </xf>
    <xf numFmtId="49" fontId="14" fillId="2" borderId="15" xfId="0" applyNumberFormat="1" applyFont="1" applyFill="1" applyBorder="1" applyAlignment="1" applyProtection="1">
      <alignment horizontal="center" vertical="center"/>
      <protection locked="0"/>
    </xf>
    <xf numFmtId="49" fontId="14" fillId="0" borderId="15" xfId="0" applyNumberFormat="1" applyFont="1" applyBorder="1" applyAlignment="1" applyProtection="1">
      <alignment horizontal="center" vertical="center"/>
      <protection locked="0"/>
    </xf>
    <xf numFmtId="14" fontId="16" fillId="2" borderId="16" xfId="0" applyNumberFormat="1" applyFont="1" applyFill="1" applyBorder="1" applyAlignment="1" applyProtection="1">
      <alignment horizontal="left" vertical="center"/>
      <protection locked="0"/>
    </xf>
    <xf numFmtId="14" fontId="15" fillId="2" borderId="16" xfId="0" applyNumberFormat="1" applyFont="1" applyFill="1" applyBorder="1" applyAlignment="1" applyProtection="1">
      <alignment vertical="center"/>
      <protection locked="0"/>
    </xf>
    <xf numFmtId="14" fontId="15" fillId="2" borderId="16" xfId="0" applyNumberFormat="1" applyFont="1" applyFill="1" applyBorder="1" applyAlignment="1" applyProtection="1">
      <alignment vertical="center" wrapText="1"/>
      <protection locked="0"/>
    </xf>
    <xf numFmtId="14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15" fillId="2" borderId="16" xfId="0" applyNumberFormat="1" applyFont="1" applyFill="1" applyBorder="1" applyAlignment="1" applyProtection="1">
      <alignment horizontal="center" vertical="center"/>
      <protection hidden="1"/>
    </xf>
    <xf numFmtId="14" fontId="7" fillId="2" borderId="0" xfId="0" applyNumberFormat="1" applyFont="1" applyFill="1"/>
    <xf numFmtId="14" fontId="0" fillId="2" borderId="0" xfId="0" applyNumberFormat="1" applyFill="1"/>
    <xf numFmtId="165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4" fontId="0" fillId="2" borderId="0" xfId="0" applyNumberFormat="1" applyFill="1" applyProtection="1">
      <protection hidden="1"/>
    </xf>
    <xf numFmtId="14" fontId="7" fillId="2" borderId="0" xfId="0" applyNumberFormat="1" applyFont="1" applyFill="1" applyAlignment="1">
      <alignment horizontal="center"/>
    </xf>
    <xf numFmtId="14" fontId="0" fillId="2" borderId="0" xfId="0" applyNumberFormat="1" applyFill="1" applyAlignment="1">
      <alignment horizontal="center"/>
    </xf>
    <xf numFmtId="14" fontId="7" fillId="2" borderId="0" xfId="0" quotePrefix="1" applyNumberFormat="1" applyFont="1" applyFill="1" applyAlignment="1">
      <alignment wrapText="1"/>
    </xf>
    <xf numFmtId="14" fontId="7" fillId="2" borderId="0" xfId="0" quotePrefix="1" applyNumberFormat="1" applyFont="1" applyFill="1" applyAlignment="1">
      <alignment horizontal="center" wrapText="1"/>
    </xf>
    <xf numFmtId="0" fontId="33" fillId="12" borderId="1" xfId="0" applyFont="1" applyFill="1" applyBorder="1" applyAlignment="1">
      <alignment horizontal="center" vertical="center"/>
    </xf>
    <xf numFmtId="0" fontId="34" fillId="11" borderId="1" xfId="0" applyFont="1" applyFill="1" applyBorder="1" applyAlignment="1">
      <alignment horizontal="center" vertical="center"/>
    </xf>
    <xf numFmtId="0" fontId="18" fillId="2" borderId="0" xfId="0" applyFont="1" applyFill="1" applyAlignment="1">
      <alignment horizontal="center"/>
    </xf>
    <xf numFmtId="0" fontId="35" fillId="10" borderId="1" xfId="0" applyFont="1" applyFill="1" applyBorder="1" applyAlignment="1">
      <alignment horizontal="center" vertical="center"/>
    </xf>
    <xf numFmtId="49" fontId="15" fillId="2" borderId="16" xfId="0" applyNumberFormat="1" applyFont="1" applyFill="1" applyBorder="1" applyAlignment="1" applyProtection="1">
      <alignment horizontal="left" vertical="center"/>
      <protection locked="0"/>
    </xf>
    <xf numFmtId="0" fontId="29" fillId="13" borderId="1" xfId="0" applyFont="1" applyFill="1" applyBorder="1" applyAlignment="1">
      <alignment horizontal="center" vertical="center"/>
    </xf>
    <xf numFmtId="0" fontId="0" fillId="2" borderId="7" xfId="0" applyFill="1" applyBorder="1"/>
    <xf numFmtId="0" fontId="0" fillId="2" borderId="9" xfId="0" applyFill="1" applyBorder="1"/>
    <xf numFmtId="0" fontId="0" fillId="2" borderId="10" xfId="0" applyFill="1" applyBorder="1"/>
    <xf numFmtId="0" fontId="36" fillId="14" borderId="1" xfId="0" applyFont="1" applyFill="1" applyBorder="1" applyAlignment="1">
      <alignment horizontal="center" vertical="center"/>
    </xf>
    <xf numFmtId="1" fontId="7" fillId="3" borderId="1" xfId="0" applyNumberFormat="1" applyFont="1" applyFill="1" applyBorder="1" applyAlignment="1" applyProtection="1">
      <alignment horizontal="center" vertical="center"/>
      <protection hidden="1"/>
    </xf>
    <xf numFmtId="165" fontId="10" fillId="6" borderId="4" xfId="20" applyNumberFormat="1" applyFont="1" applyFill="1" applyBorder="1" applyAlignment="1" applyProtection="1">
      <alignment horizontal="center"/>
      <protection hidden="1"/>
    </xf>
    <xf numFmtId="165" fontId="10" fillId="3" borderId="4" xfId="20" applyNumberFormat="1" applyFont="1" applyFill="1" applyBorder="1" applyAlignment="1" applyProtection="1">
      <alignment horizontal="center"/>
      <protection hidden="1"/>
    </xf>
    <xf numFmtId="165" fontId="10" fillId="6" borderId="6" xfId="0" applyNumberFormat="1" applyFont="1" applyFill="1" applyBorder="1" applyAlignment="1" applyProtection="1">
      <alignment horizontal="center"/>
      <protection hidden="1"/>
    </xf>
    <xf numFmtId="165" fontId="10" fillId="3" borderId="4" xfId="0" applyNumberFormat="1" applyFont="1" applyFill="1" applyBorder="1" applyAlignment="1" applyProtection="1">
      <alignment horizontal="center"/>
      <protection hidden="1"/>
    </xf>
    <xf numFmtId="165" fontId="10" fillId="6" borderId="4" xfId="0" applyNumberFormat="1" applyFont="1" applyFill="1" applyBorder="1" applyAlignment="1" applyProtection="1">
      <alignment horizontal="center"/>
      <protection hidden="1"/>
    </xf>
    <xf numFmtId="0" fontId="19" fillId="6" borderId="15" xfId="0" applyNumberFormat="1" applyFont="1" applyFill="1" applyBorder="1" applyAlignment="1" applyProtection="1">
      <alignment horizontal="center" vertical="center"/>
      <protection locked="0"/>
    </xf>
    <xf numFmtId="14" fontId="15" fillId="6" borderId="17" xfId="0" applyNumberFormat="1" applyFont="1" applyFill="1" applyBorder="1" applyAlignment="1" applyProtection="1">
      <alignment horizontal="center" vertical="center"/>
      <protection locked="0"/>
    </xf>
    <xf numFmtId="14" fontId="15" fillId="6" borderId="15" xfId="0" applyNumberFormat="1" applyFont="1" applyFill="1" applyBorder="1" applyAlignment="1" applyProtection="1">
      <alignment horizontal="center" vertical="center"/>
      <protection locked="0"/>
    </xf>
    <xf numFmtId="14" fontId="21" fillId="9" borderId="18" xfId="0" applyNumberFormat="1" applyFont="1" applyFill="1" applyBorder="1" applyAlignment="1" applyProtection="1">
      <alignment horizontal="center" vertical="center"/>
      <protection hidden="1"/>
    </xf>
    <xf numFmtId="49" fontId="21" fillId="9" borderId="18" xfId="0" applyNumberFormat="1" applyFont="1" applyFill="1" applyBorder="1" applyAlignment="1" applyProtection="1">
      <alignment horizontal="center" vertical="center" wrapText="1"/>
      <protection hidden="1"/>
    </xf>
    <xf numFmtId="0" fontId="21" fillId="9" borderId="18" xfId="0" applyNumberFormat="1" applyFont="1" applyFill="1" applyBorder="1" applyAlignment="1" applyProtection="1">
      <alignment horizontal="center" vertical="center" wrapText="1" shrinkToFit="1"/>
      <protection hidden="1"/>
    </xf>
    <xf numFmtId="0" fontId="21" fillId="9" borderId="18" xfId="0" applyNumberFormat="1" applyFont="1" applyFill="1" applyBorder="1" applyAlignment="1" applyProtection="1">
      <alignment horizontal="center" vertical="center" wrapText="1"/>
      <protection hidden="1"/>
    </xf>
    <xf numFmtId="49" fontId="18" fillId="9" borderId="18" xfId="0" applyNumberFormat="1" applyFont="1" applyFill="1" applyBorder="1" applyAlignment="1" applyProtection="1">
      <alignment horizontal="center" vertical="center"/>
      <protection hidden="1"/>
    </xf>
    <xf numFmtId="49" fontId="21" fillId="9" borderId="18" xfId="0" applyNumberFormat="1" applyFont="1" applyFill="1" applyBorder="1" applyAlignment="1" applyProtection="1">
      <alignment horizontal="center" vertical="center"/>
      <protection hidden="1"/>
    </xf>
    <xf numFmtId="49" fontId="21" fillId="2" borderId="15" xfId="0" applyNumberFormat="1" applyFont="1" applyFill="1" applyBorder="1" applyAlignment="1" applyProtection="1">
      <alignment horizontal="left" vertical="center"/>
      <protection hidden="1"/>
    </xf>
    <xf numFmtId="14" fontId="21" fillId="2" borderId="15" xfId="0" applyNumberFormat="1" applyFont="1" applyFill="1" applyBorder="1" applyAlignment="1" applyProtection="1">
      <alignment horizontal="left" vertical="center"/>
      <protection hidden="1"/>
    </xf>
    <xf numFmtId="14" fontId="21" fillId="2" borderId="15" xfId="0" applyNumberFormat="1" applyFont="1" applyFill="1" applyBorder="1" applyAlignment="1" applyProtection="1">
      <alignment horizontal="center" vertical="center"/>
      <protection hidden="1"/>
    </xf>
    <xf numFmtId="49" fontId="21" fillId="2" borderId="15" xfId="0" applyNumberFormat="1" applyFont="1" applyFill="1" applyBorder="1" applyAlignment="1" applyProtection="1">
      <alignment horizontal="center" vertical="center" wrapText="1"/>
      <protection hidden="1"/>
    </xf>
    <xf numFmtId="0" fontId="21" fillId="2" borderId="15" xfId="0" applyNumberFormat="1" applyFont="1" applyFill="1" applyBorder="1" applyAlignment="1" applyProtection="1">
      <alignment horizontal="center" vertical="center" wrapText="1" shrinkToFit="1"/>
      <protection hidden="1"/>
    </xf>
    <xf numFmtId="0" fontId="21" fillId="2" borderId="15" xfId="0" applyNumberFormat="1" applyFont="1" applyFill="1" applyBorder="1" applyAlignment="1" applyProtection="1">
      <alignment horizontal="center" vertical="center" wrapText="1"/>
      <protection hidden="1"/>
    </xf>
    <xf numFmtId="49" fontId="18" fillId="2" borderId="15" xfId="0" applyNumberFormat="1" applyFont="1" applyFill="1" applyBorder="1" applyAlignment="1" applyProtection="1">
      <alignment horizontal="center" vertical="center"/>
      <protection hidden="1"/>
    </xf>
    <xf numFmtId="49" fontId="21" fillId="2" borderId="15" xfId="0" applyNumberFormat="1" applyFont="1" applyFill="1" applyBorder="1" applyAlignment="1" applyProtection="1">
      <alignment horizontal="center" vertical="center"/>
      <protection hidden="1"/>
    </xf>
    <xf numFmtId="49" fontId="15" fillId="2" borderId="16" xfId="0" applyNumberFormat="1" applyFont="1" applyFill="1" applyBorder="1" applyAlignment="1" applyProtection="1">
      <alignment horizontal="center" vertical="center"/>
      <protection hidden="1"/>
    </xf>
    <xf numFmtId="14" fontId="15" fillId="2" borderId="0" xfId="0" applyNumberFormat="1" applyFont="1" applyFill="1" applyAlignment="1" applyProtection="1">
      <alignment horizontal="center" vertical="center"/>
      <protection locked="0"/>
    </xf>
    <xf numFmtId="168" fontId="15" fillId="6" borderId="15" xfId="0" applyNumberFormat="1" applyFont="1" applyFill="1" applyBorder="1" applyAlignment="1" applyProtection="1">
      <alignment horizontal="center" vertical="center"/>
      <protection locked="0"/>
    </xf>
    <xf numFmtId="0" fontId="10" fillId="4" borderId="12" xfId="0" applyFont="1" applyFill="1" applyBorder="1" applyAlignment="1" applyProtection="1">
      <alignment horizontal="center" vertical="center"/>
      <protection hidden="1"/>
    </xf>
    <xf numFmtId="0" fontId="10" fillId="4" borderId="13" xfId="0" applyFont="1" applyFill="1" applyBorder="1" applyAlignment="1" applyProtection="1">
      <alignment horizontal="center" vertical="center"/>
      <protection hidden="1"/>
    </xf>
    <xf numFmtId="0" fontId="10" fillId="4" borderId="12" xfId="0" applyFont="1" applyFill="1" applyBorder="1" applyAlignment="1" applyProtection="1">
      <alignment horizontal="center" vertical="center" wrapText="1"/>
      <protection hidden="1"/>
    </xf>
    <xf numFmtId="0" fontId="10" fillId="4" borderId="13" xfId="0" applyFont="1" applyFill="1" applyBorder="1" applyAlignment="1" applyProtection="1">
      <alignment horizontal="center" vertical="center" wrapText="1"/>
      <protection hidden="1"/>
    </xf>
    <xf numFmtId="0" fontId="10" fillId="4" borderId="14" xfId="0" applyFont="1" applyFill="1" applyBorder="1" applyAlignment="1" applyProtection="1">
      <alignment horizontal="center" vertical="center" wrapText="1"/>
      <protection hidden="1"/>
    </xf>
    <xf numFmtId="0" fontId="23" fillId="3" borderId="6" xfId="0" applyNumberFormat="1" applyFont="1" applyFill="1" applyBorder="1" applyAlignment="1" applyProtection="1">
      <alignment horizontal="center" vertical="center"/>
      <protection hidden="1"/>
    </xf>
    <xf numFmtId="0" fontId="23" fillId="3" borderId="7" xfId="0" applyNumberFormat="1" applyFont="1" applyFill="1" applyBorder="1" applyAlignment="1" applyProtection="1">
      <alignment horizontal="center" vertical="center"/>
      <protection hidden="1"/>
    </xf>
    <xf numFmtId="0" fontId="23" fillId="6" borderId="6" xfId="0" applyNumberFormat="1" applyFont="1" applyFill="1" applyBorder="1" applyAlignment="1" applyProtection="1">
      <alignment horizontal="center" vertical="center"/>
      <protection hidden="1"/>
    </xf>
    <xf numFmtId="0" fontId="23" fillId="6" borderId="7" xfId="0" applyNumberFormat="1" applyFont="1" applyFill="1" applyBorder="1" applyAlignment="1" applyProtection="1">
      <alignment horizontal="center" vertical="center"/>
      <protection hidden="1"/>
    </xf>
    <xf numFmtId="0" fontId="23" fillId="6" borderId="8" xfId="0" applyNumberFormat="1" applyFont="1" applyFill="1" applyBorder="1" applyAlignment="1" applyProtection="1">
      <alignment horizontal="center" vertical="center"/>
      <protection hidden="1"/>
    </xf>
    <xf numFmtId="0" fontId="23" fillId="6" borderId="11" xfId="0" applyNumberFormat="1" applyFont="1" applyFill="1" applyBorder="1" applyAlignment="1" applyProtection="1">
      <alignment horizontal="center" vertical="center"/>
      <protection hidden="1"/>
    </xf>
    <xf numFmtId="0" fontId="7" fillId="5" borderId="12" xfId="0" applyFont="1" applyFill="1" applyBorder="1" applyAlignment="1" applyProtection="1">
      <alignment horizontal="center" vertical="center"/>
      <protection hidden="1"/>
    </xf>
    <xf numFmtId="0" fontId="7" fillId="5" borderId="13" xfId="0" applyFont="1" applyFill="1" applyBorder="1" applyAlignment="1" applyProtection="1">
      <alignment horizontal="center" vertical="center"/>
      <protection hidden="1"/>
    </xf>
    <xf numFmtId="0" fontId="7" fillId="5" borderId="14" xfId="0" applyFont="1" applyFill="1" applyBorder="1" applyAlignment="1" applyProtection="1">
      <alignment horizontal="center" vertical="center"/>
      <protection hidden="1"/>
    </xf>
    <xf numFmtId="167" fontId="7" fillId="3" borderId="6" xfId="3" applyNumberFormat="1" applyFont="1" applyFill="1" applyBorder="1" applyAlignment="1" applyProtection="1">
      <alignment horizontal="center" vertical="center"/>
      <protection hidden="1"/>
    </xf>
    <xf numFmtId="167" fontId="7" fillId="3" borderId="7" xfId="3" applyNumberFormat="1" applyFont="1" applyFill="1" applyBorder="1" applyAlignment="1" applyProtection="1">
      <alignment horizontal="center" vertical="center"/>
      <protection hidden="1"/>
    </xf>
    <xf numFmtId="167" fontId="7" fillId="6" borderId="6" xfId="3" applyNumberFormat="1" applyFont="1" applyFill="1" applyBorder="1" applyAlignment="1" applyProtection="1">
      <alignment horizontal="center" vertical="center"/>
      <protection hidden="1"/>
    </xf>
    <xf numFmtId="167" fontId="7" fillId="6" borderId="7" xfId="3" applyNumberFormat="1" applyFont="1" applyFill="1" applyBorder="1" applyAlignment="1" applyProtection="1">
      <alignment horizontal="center" vertical="center"/>
      <protection hidden="1"/>
    </xf>
    <xf numFmtId="3" fontId="7" fillId="6" borderId="8" xfId="0" applyNumberFormat="1" applyFont="1" applyFill="1" applyBorder="1" applyAlignment="1" applyProtection="1">
      <alignment horizontal="center" vertical="center"/>
      <protection hidden="1"/>
    </xf>
    <xf numFmtId="3" fontId="7" fillId="6" borderId="11" xfId="0" applyNumberFormat="1" applyFont="1" applyFill="1" applyBorder="1" applyAlignment="1" applyProtection="1">
      <alignment horizontal="center" vertical="center"/>
      <protection hidden="1"/>
    </xf>
    <xf numFmtId="0" fontId="10" fillId="4" borderId="14" xfId="0" applyFont="1" applyFill="1" applyBorder="1" applyAlignment="1" applyProtection="1">
      <alignment horizontal="center" vertical="center"/>
      <protection hidden="1"/>
    </xf>
    <xf numFmtId="0" fontId="7" fillId="6" borderId="6" xfId="0" applyFont="1" applyFill="1" applyBorder="1" applyAlignment="1" applyProtection="1">
      <alignment horizontal="center" vertical="center"/>
      <protection hidden="1"/>
    </xf>
    <xf numFmtId="0" fontId="7" fillId="6" borderId="7" xfId="0" applyFont="1" applyFill="1" applyBorder="1" applyAlignment="1" applyProtection="1">
      <alignment horizontal="center" vertical="center"/>
      <protection hidden="1"/>
    </xf>
    <xf numFmtId="0" fontId="7" fillId="3" borderId="6" xfId="0" applyFont="1" applyFill="1" applyBorder="1" applyAlignment="1" applyProtection="1">
      <alignment horizontal="center" vertical="center"/>
      <protection hidden="1"/>
    </xf>
    <xf numFmtId="0" fontId="7" fillId="3" borderId="7" xfId="0" applyFont="1" applyFill="1" applyBorder="1" applyAlignment="1" applyProtection="1">
      <alignment horizontal="center" vertical="center"/>
      <protection hidden="1"/>
    </xf>
    <xf numFmtId="0" fontId="7" fillId="3" borderId="12" xfId="0" applyFont="1" applyFill="1" applyBorder="1" applyAlignment="1" applyProtection="1">
      <alignment horizontal="center" vertical="center"/>
      <protection hidden="1"/>
    </xf>
    <xf numFmtId="0" fontId="7" fillId="3" borderId="14" xfId="0" applyFont="1" applyFill="1" applyBorder="1" applyAlignment="1" applyProtection="1">
      <alignment horizontal="center" vertical="center"/>
      <protection hidden="1"/>
    </xf>
    <xf numFmtId="0" fontId="23" fillId="6" borderId="5" xfId="0" applyNumberFormat="1" applyFont="1" applyFill="1" applyBorder="1" applyAlignment="1" applyProtection="1">
      <alignment horizontal="center" vertical="center"/>
      <protection hidden="1"/>
    </xf>
    <xf numFmtId="0" fontId="23" fillId="6" borderId="10" xfId="0" applyNumberFormat="1" applyFont="1" applyFill="1" applyBorder="1" applyAlignment="1" applyProtection="1">
      <alignment horizontal="center" vertical="center"/>
      <protection hidden="1"/>
    </xf>
    <xf numFmtId="3" fontId="7" fillId="3" borderId="12" xfId="0" applyNumberFormat="1" applyFont="1" applyFill="1" applyBorder="1" applyAlignment="1" applyProtection="1">
      <alignment horizontal="center" vertical="center"/>
      <protection hidden="1"/>
    </xf>
    <xf numFmtId="3" fontId="7" fillId="3" borderId="14" xfId="0" applyNumberFormat="1" applyFont="1" applyFill="1" applyBorder="1" applyAlignment="1" applyProtection="1">
      <alignment horizontal="center" vertical="center"/>
      <protection hidden="1"/>
    </xf>
    <xf numFmtId="10" fontId="7" fillId="6" borderId="5" xfId="3" applyNumberFormat="1" applyFont="1" applyFill="1" applyBorder="1" applyAlignment="1" applyProtection="1">
      <alignment horizontal="center" vertical="center"/>
      <protection hidden="1"/>
    </xf>
    <xf numFmtId="10" fontId="7" fillId="6" borderId="10" xfId="3" applyNumberFormat="1" applyFont="1" applyFill="1" applyBorder="1" applyAlignment="1" applyProtection="1">
      <alignment horizontal="center" vertical="center"/>
      <protection hidden="1"/>
    </xf>
    <xf numFmtId="0" fontId="7" fillId="3" borderId="13" xfId="0" applyFont="1" applyFill="1" applyBorder="1" applyAlignment="1" applyProtection="1">
      <alignment horizontal="center" vertical="center"/>
      <protection hidden="1"/>
    </xf>
    <xf numFmtId="0" fontId="7" fillId="6" borderId="5" xfId="0" applyFont="1" applyFill="1" applyBorder="1" applyAlignment="1" applyProtection="1">
      <alignment horizontal="center"/>
      <protection hidden="1"/>
    </xf>
    <xf numFmtId="0" fontId="7" fillId="6" borderId="10" xfId="0" applyFont="1" applyFill="1" applyBorder="1" applyAlignment="1" applyProtection="1">
      <alignment horizontal="center"/>
      <protection hidden="1"/>
    </xf>
    <xf numFmtId="0" fontId="7" fillId="6" borderId="8" xfId="0" applyFont="1" applyFill="1" applyBorder="1" applyAlignment="1" applyProtection="1">
      <alignment horizontal="center" vertical="center"/>
      <protection hidden="1"/>
    </xf>
    <xf numFmtId="0" fontId="7" fillId="5" borderId="5" xfId="0" applyFont="1" applyFill="1" applyBorder="1" applyAlignment="1" applyProtection="1">
      <alignment horizontal="center" vertical="center"/>
      <protection hidden="1"/>
    </xf>
    <xf numFmtId="0" fontId="7" fillId="5" borderId="9" xfId="0" applyFont="1" applyFill="1" applyBorder="1" applyAlignment="1" applyProtection="1">
      <alignment horizontal="center" vertical="center"/>
      <protection hidden="1"/>
    </xf>
    <xf numFmtId="0" fontId="0" fillId="6" borderId="8" xfId="0" applyFill="1" applyBorder="1" applyAlignment="1" applyProtection="1">
      <alignment horizontal="center"/>
      <protection hidden="1"/>
    </xf>
    <xf numFmtId="0" fontId="0" fillId="6" borderId="11" xfId="0" applyFill="1" applyBorder="1" applyAlignment="1" applyProtection="1">
      <alignment horizontal="center"/>
      <protection hidden="1"/>
    </xf>
    <xf numFmtId="0" fontId="7" fillId="5" borderId="10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/>
      <protection hidden="1"/>
    </xf>
    <xf numFmtId="0" fontId="0" fillId="3" borderId="7" xfId="0" applyFill="1" applyBorder="1" applyAlignment="1" applyProtection="1">
      <alignment horizontal="center"/>
      <protection hidden="1"/>
    </xf>
    <xf numFmtId="0" fontId="0" fillId="6" borderId="6" xfId="0" applyFill="1" applyBorder="1" applyAlignment="1" applyProtection="1">
      <alignment horizontal="center"/>
      <protection hidden="1"/>
    </xf>
    <xf numFmtId="0" fontId="0" fillId="6" borderId="7" xfId="0" applyFill="1" applyBorder="1" applyAlignment="1" applyProtection="1">
      <alignment horizontal="center"/>
      <protection hidden="1"/>
    </xf>
    <xf numFmtId="0" fontId="0" fillId="3" borderId="12" xfId="0" applyFill="1" applyBorder="1" applyAlignment="1" applyProtection="1">
      <alignment horizontal="center"/>
      <protection hidden="1"/>
    </xf>
    <xf numFmtId="0" fontId="0" fillId="3" borderId="14" xfId="0" applyFill="1" applyBorder="1" applyAlignment="1" applyProtection="1">
      <alignment horizontal="center"/>
      <protection hidden="1"/>
    </xf>
    <xf numFmtId="0" fontId="0" fillId="6" borderId="5" xfId="0" applyFill="1" applyBorder="1" applyAlignment="1" applyProtection="1">
      <alignment horizontal="center"/>
      <protection hidden="1"/>
    </xf>
    <xf numFmtId="0" fontId="0" fillId="6" borderId="10" xfId="0" applyFill="1" applyBorder="1" applyAlignment="1" applyProtection="1">
      <alignment horizontal="center"/>
      <protection hidden="1"/>
    </xf>
    <xf numFmtId="165" fontId="20" fillId="4" borderId="13" xfId="0" applyNumberFormat="1" applyFont="1" applyFill="1" applyBorder="1" applyAlignment="1" applyProtection="1">
      <alignment horizontal="center" vertical="center" wrapText="1"/>
      <protection locked="0"/>
    </xf>
    <xf numFmtId="165" fontId="20" fillId="4" borderId="14" xfId="0" applyNumberFormat="1" applyFont="1" applyFill="1" applyBorder="1" applyAlignment="1" applyProtection="1">
      <alignment horizontal="center" vertical="center" wrapText="1"/>
      <protection locked="0"/>
    </xf>
    <xf numFmtId="0" fontId="10" fillId="4" borderId="12" xfId="0" applyFont="1" applyFill="1" applyBorder="1" applyAlignment="1" applyProtection="1">
      <alignment horizontal="right" vertical="center" wrapText="1"/>
      <protection hidden="1"/>
    </xf>
    <xf numFmtId="0" fontId="10" fillId="4" borderId="13" xfId="0" applyFont="1" applyFill="1" applyBorder="1" applyAlignment="1" applyProtection="1">
      <alignment horizontal="right" vertical="center" wrapText="1"/>
      <protection hidden="1"/>
    </xf>
    <xf numFmtId="0" fontId="10" fillId="4" borderId="12" xfId="0" applyFont="1" applyFill="1" applyBorder="1" applyAlignment="1" applyProtection="1">
      <alignment horizontal="right" vertical="center"/>
      <protection hidden="1"/>
    </xf>
    <xf numFmtId="0" fontId="10" fillId="4" borderId="13" xfId="0" applyFont="1" applyFill="1" applyBorder="1" applyAlignment="1" applyProtection="1">
      <alignment horizontal="right" vertical="center"/>
      <protection hidden="1"/>
    </xf>
    <xf numFmtId="0" fontId="10" fillId="4" borderId="19" xfId="0" applyFont="1" applyFill="1" applyBorder="1" applyAlignment="1" applyProtection="1">
      <alignment horizontal="center" vertical="center"/>
      <protection hidden="1"/>
    </xf>
    <xf numFmtId="0" fontId="10" fillId="4" borderId="20" xfId="0" applyFont="1" applyFill="1" applyBorder="1" applyAlignment="1" applyProtection="1">
      <alignment horizontal="center" vertical="center"/>
      <protection hidden="1"/>
    </xf>
    <xf numFmtId="0" fontId="10" fillId="4" borderId="21" xfId="0" applyFont="1" applyFill="1" applyBorder="1" applyAlignment="1" applyProtection="1">
      <alignment horizontal="center" vertical="center"/>
      <protection hidden="1"/>
    </xf>
    <xf numFmtId="0" fontId="10" fillId="4" borderId="1" xfId="0" applyFont="1" applyFill="1" applyBorder="1" applyAlignment="1" applyProtection="1">
      <alignment horizontal="center" wrapText="1"/>
      <protection hidden="1"/>
    </xf>
    <xf numFmtId="0" fontId="7" fillId="6" borderId="11" xfId="0" applyFont="1" applyFill="1" applyBorder="1" applyAlignment="1" applyProtection="1">
      <alignment horizontal="center" vertical="center"/>
      <protection hidden="1"/>
    </xf>
  </cellXfs>
  <cellStyles count="47">
    <cellStyle name="Hiperlink 2" xfId="6" xr:uid="{00000000-0005-0000-0000-000001000000}"/>
    <cellStyle name="Hyperlink" xfId="4" builtinId="8"/>
    <cellStyle name="Normal" xfId="0" builtinId="0"/>
    <cellStyle name="Normal 10" xfId="20" xr:uid="{00000000-0005-0000-0000-000003000000}"/>
    <cellStyle name="Normal 10 2" xfId="38" xr:uid="{00000000-0005-0000-0000-000004000000}"/>
    <cellStyle name="Normal 11" xfId="19" xr:uid="{00000000-0005-0000-0000-000005000000}"/>
    <cellStyle name="Normal 11 2" xfId="37" xr:uid="{00000000-0005-0000-0000-000006000000}"/>
    <cellStyle name="Normal 12" xfId="46" xr:uid="{00000000-0005-0000-0000-000007000000}"/>
    <cellStyle name="Normal 2" xfId="1" xr:uid="{00000000-0005-0000-0000-000008000000}"/>
    <cellStyle name="Normal 3" xfId="5" xr:uid="{00000000-0005-0000-0000-000009000000}"/>
    <cellStyle name="Normal 3 2" xfId="8" xr:uid="{00000000-0005-0000-0000-00000A000000}"/>
    <cellStyle name="Normal 3 2 2" xfId="15" xr:uid="{00000000-0005-0000-0000-00000B000000}"/>
    <cellStyle name="Normal 3 2 2 2" xfId="27" xr:uid="{00000000-0005-0000-0000-00000C000000}"/>
    <cellStyle name="Normal 3 2 2 2 2" xfId="44" xr:uid="{00000000-0005-0000-0000-00000D000000}"/>
    <cellStyle name="Normal 3 2 2 3" xfId="35" xr:uid="{00000000-0005-0000-0000-00000E000000}"/>
    <cellStyle name="Normal 3 2 3" xfId="23" xr:uid="{00000000-0005-0000-0000-00000F000000}"/>
    <cellStyle name="Normal 3 2 3 2" xfId="40" xr:uid="{00000000-0005-0000-0000-000010000000}"/>
    <cellStyle name="Normal 3 2 4" xfId="31" xr:uid="{00000000-0005-0000-0000-000011000000}"/>
    <cellStyle name="Normal 3 3" xfId="9" xr:uid="{00000000-0005-0000-0000-000012000000}"/>
    <cellStyle name="Normal 3 3 2" xfId="16" xr:uid="{00000000-0005-0000-0000-000013000000}"/>
    <cellStyle name="Normal 3 3 2 2" xfId="28" xr:uid="{00000000-0005-0000-0000-000014000000}"/>
    <cellStyle name="Normal 3 3 2 2 2" xfId="45" xr:uid="{00000000-0005-0000-0000-000015000000}"/>
    <cellStyle name="Normal 3 3 2 3" xfId="36" xr:uid="{00000000-0005-0000-0000-000016000000}"/>
    <cellStyle name="Normal 3 3 3" xfId="24" xr:uid="{00000000-0005-0000-0000-000017000000}"/>
    <cellStyle name="Normal 3 3 3 2" xfId="41" xr:uid="{00000000-0005-0000-0000-000018000000}"/>
    <cellStyle name="Normal 3 3 4" xfId="32" xr:uid="{00000000-0005-0000-0000-000019000000}"/>
    <cellStyle name="Normal 3 4" xfId="14" xr:uid="{00000000-0005-0000-0000-00001A000000}"/>
    <cellStyle name="Normal 3 4 2" xfId="26" xr:uid="{00000000-0005-0000-0000-00001B000000}"/>
    <cellStyle name="Normal 3 4 2 2" xfId="43" xr:uid="{00000000-0005-0000-0000-00001C000000}"/>
    <cellStyle name="Normal 3 4 3" xfId="34" xr:uid="{00000000-0005-0000-0000-00001D000000}"/>
    <cellStyle name="Normal 3 5" xfId="22" xr:uid="{00000000-0005-0000-0000-00001E000000}"/>
    <cellStyle name="Normal 3 5 2" xfId="39" xr:uid="{00000000-0005-0000-0000-00001F000000}"/>
    <cellStyle name="Normal 3 6" xfId="30" xr:uid="{00000000-0005-0000-0000-000020000000}"/>
    <cellStyle name="Normal 4" xfId="2" xr:uid="{00000000-0005-0000-0000-000021000000}"/>
    <cellStyle name="Normal 5" xfId="10" xr:uid="{00000000-0005-0000-0000-000022000000}"/>
    <cellStyle name="Normal 6" xfId="12" xr:uid="{00000000-0005-0000-0000-000023000000}"/>
    <cellStyle name="Normal 7" xfId="11" xr:uid="{00000000-0005-0000-0000-000024000000}"/>
    <cellStyle name="Normal 7 2" xfId="25" xr:uid="{00000000-0005-0000-0000-000025000000}"/>
    <cellStyle name="Normal 7 2 2" xfId="42" xr:uid="{00000000-0005-0000-0000-000026000000}"/>
    <cellStyle name="Normal 7 3" xfId="33" xr:uid="{00000000-0005-0000-0000-000027000000}"/>
    <cellStyle name="Normal 8" xfId="17" xr:uid="{00000000-0005-0000-0000-000028000000}"/>
    <cellStyle name="Normal 8 2" xfId="29" xr:uid="{00000000-0005-0000-0000-000029000000}"/>
    <cellStyle name="Normal 9" xfId="18" xr:uid="{00000000-0005-0000-0000-00002A000000}"/>
    <cellStyle name="Percent" xfId="3" builtinId="5"/>
    <cellStyle name="Porcentagem 2" xfId="7" xr:uid="{00000000-0005-0000-0000-00002C000000}"/>
    <cellStyle name="Porcentagem 3" xfId="13" xr:uid="{00000000-0005-0000-0000-00002D000000}"/>
    <cellStyle name="Porcentagem 4" xfId="21" xr:uid="{00000000-0005-0000-0000-00002E000000}"/>
  </cellStyles>
  <dxfs count="42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64" formatCode="d/m/yyyy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64" formatCode="d/m/yyyy"/>
      <fill>
        <patternFill patternType="solid">
          <fgColor indexed="64"/>
          <bgColor theme="0" tint="-4.9989318521683403E-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30" formatCode="@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30" formatCode="@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68" formatCode="m/d/yyyy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68" formatCode="m/d/yyyy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68" formatCode="m/d/yyyy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68" formatCode="m/d/yyyy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30" formatCode="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border>
        <bottom style="thin">
          <color theme="0"/>
        </bottom>
      </border>
    </dxf>
    <dxf>
      <font>
        <b val="0"/>
        <strike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1" hidden="1"/>
    </dxf>
  </dxfs>
  <tableStyles count="0" defaultTableStyle="TableStyleMedium9" defaultPivotStyle="PivotStyleLight16"/>
  <colors>
    <mruColors>
      <color rgb="FFCC9900"/>
      <color rgb="FFDAA600"/>
      <color rgb="FFE6E6E6"/>
      <color rgb="FFE2E2E2"/>
      <color rgb="FFE4E4E4"/>
      <color rgb="FFAC8300"/>
      <color rgb="FFFF0066"/>
      <color rgb="FFF1D423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pt-BR" sz="1200" b="1" i="0" baseline="0">
                <a:effectLst/>
                <a:latin typeface="+mn-lt"/>
              </a:rPr>
              <a:t>Qtd. por tempo da abertura do Ticket</a:t>
            </a:r>
            <a:endParaRPr lang="pt-BR" sz="1200">
              <a:effectLst/>
              <a:latin typeface="+mn-lt"/>
            </a:endParaRPr>
          </a:p>
        </c:rich>
      </c:tx>
      <c:layout>
        <c:manualLayout>
          <c:xMode val="edge"/>
          <c:yMode val="edge"/>
          <c:x val="0.18479065656565657"/>
          <c:y val="3.43500481887378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897254928466353E-2"/>
          <c:y val="0.19253345882697512"/>
          <c:w val="0.87621911358891202"/>
          <c:h val="0.68613381700250708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Geral!$C$5</c:f>
              <c:strCache>
                <c:ptCount val="1"/>
                <c:pt idx="0">
                  <c:v>1w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accent3">
                  <a:lumMod val="75000"/>
                </a:schemeClr>
              </a:solidFill>
            </a:ln>
          </c:spPr>
          <c:invertIfNegative val="0"/>
          <c:cat>
            <c:strRef>
              <c:f>Geral!$B$6:$B$13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Geral!$C$6:$C$13</c:f>
              <c:numCache>
                <c:formatCode>General</c:formatCode>
                <c:ptCount val="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F3-4857-A8B1-76462C37CA2C}"/>
            </c:ext>
          </c:extLst>
        </c:ser>
        <c:ser>
          <c:idx val="1"/>
          <c:order val="1"/>
          <c:tx>
            <c:strRef>
              <c:f>Geral!$D$5</c:f>
              <c:strCache>
                <c:ptCount val="1"/>
                <c:pt idx="0">
                  <c:v>2w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CC9900"/>
              </a:solidFill>
            </a:ln>
          </c:spPr>
          <c:invertIfNegative val="0"/>
          <c:cat>
            <c:strRef>
              <c:f>Geral!$B$6:$B$13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Geral!$D$6:$D$13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F3-4857-A8B1-76462C37CA2C}"/>
            </c:ext>
          </c:extLst>
        </c:ser>
        <c:ser>
          <c:idx val="0"/>
          <c:order val="2"/>
          <c:tx>
            <c:strRef>
              <c:f>Geral!$E$5</c:f>
              <c:strCache>
                <c:ptCount val="1"/>
                <c:pt idx="0">
                  <c:v>3w+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  <c:invertIfNegative val="0"/>
          <c:cat>
            <c:strRef>
              <c:f>Geral!$B$6:$B$13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Geral!$E$6:$E$13</c:f>
              <c:numCache>
                <c:formatCode>General</c:formatCode>
                <c:ptCount val="8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F3-4857-A8B1-76462C37C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419776"/>
        <c:axId val="157433856"/>
      </c:barChart>
      <c:catAx>
        <c:axId val="15741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7433856"/>
        <c:crosses val="autoZero"/>
        <c:auto val="1"/>
        <c:lblAlgn val="ctr"/>
        <c:lblOffset val="100"/>
        <c:noMultiLvlLbl val="0"/>
      </c:catAx>
      <c:valAx>
        <c:axId val="15743385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57419776"/>
        <c:crosses val="autoZero"/>
        <c:crossBetween val="between"/>
        <c:majorUnit val="1"/>
      </c:valAx>
      <c:spPr>
        <a:solidFill>
          <a:sysClr val="window" lastClr="FFFFFF"/>
        </a:solidFill>
      </c:spPr>
    </c:plotArea>
    <c:legend>
      <c:legendPos val="r"/>
      <c:layout>
        <c:manualLayout>
          <c:xMode val="edge"/>
          <c:yMode val="edge"/>
          <c:x val="0.89576540404040406"/>
          <c:y val="1.962402190923318E-2"/>
          <c:w val="0.10423459595959596"/>
          <c:h val="0.17627034428794991"/>
        </c:manualLayout>
      </c:layout>
      <c:overlay val="1"/>
    </c:legend>
    <c:plotVisOnly val="1"/>
    <c:dispBlanksAs val="gap"/>
    <c:showDLblsOverMax val="0"/>
  </c:chart>
  <c:spPr>
    <a:solidFill>
      <a:sysClr val="window" lastClr="FFFFFF"/>
    </a:solidFill>
    <a:effectLst/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200" b="1" i="0" baseline="0">
                <a:effectLst/>
                <a:latin typeface="+mn-lt"/>
              </a:rPr>
              <a:t>Quantidade mensal de Tickets recebidos </a:t>
            </a:r>
          </a:p>
        </c:rich>
      </c:tx>
      <c:layout>
        <c:manualLayout>
          <c:xMode val="edge"/>
          <c:yMode val="edge"/>
          <c:x val="0.16667995685902623"/>
          <c:y val="3.86581094829724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0644444444444449E-2"/>
          <c:y val="0.16890567129101894"/>
          <c:w val="0.88880000000000003"/>
          <c:h val="0.631711779341852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Geral!$C$39</c:f>
              <c:strCache>
                <c:ptCount val="1"/>
                <c:pt idx="0">
                  <c:v>Tickets Recebidos</c:v>
                </c:pt>
              </c:strCache>
            </c:strRef>
          </c:tx>
          <c:invertIfNegative val="0"/>
          <c:cat>
            <c:strRef>
              <c:f>Geral!$B$40:$B$52</c:f>
              <c:strCache>
                <c:ptCount val="13"/>
                <c:pt idx="0">
                  <c:v>nov-19</c:v>
                </c:pt>
                <c:pt idx="1">
                  <c:v>dez-19</c:v>
                </c:pt>
                <c:pt idx="2">
                  <c:v>jan-20</c:v>
                </c:pt>
                <c:pt idx="3">
                  <c:v>fev-20</c:v>
                </c:pt>
                <c:pt idx="4">
                  <c:v>mar-20</c:v>
                </c:pt>
                <c:pt idx="5">
                  <c:v>abr-20</c:v>
                </c:pt>
                <c:pt idx="6">
                  <c:v>mai-20</c:v>
                </c:pt>
                <c:pt idx="7">
                  <c:v>jun-20</c:v>
                </c:pt>
                <c:pt idx="8">
                  <c:v>jul-20</c:v>
                </c:pt>
                <c:pt idx="9">
                  <c:v>ago-20</c:v>
                </c:pt>
                <c:pt idx="10">
                  <c:v>set-20</c:v>
                </c:pt>
                <c:pt idx="11">
                  <c:v>out-20</c:v>
                </c:pt>
                <c:pt idx="12">
                  <c:v>Nov-20</c:v>
                </c:pt>
              </c:strCache>
            </c:strRef>
          </c:cat>
          <c:val>
            <c:numRef>
              <c:f>Geral!$C$40:$C$52</c:f>
              <c:numCache>
                <c:formatCode>General</c:formatCode>
                <c:ptCount val="13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14</c:v>
                </c:pt>
                <c:pt idx="9">
                  <c:v>14</c:v>
                </c:pt>
                <c:pt idx="10">
                  <c:v>19</c:v>
                </c:pt>
                <c:pt idx="11">
                  <c:v>5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C2-4DBD-97B8-F0EBD14F1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470720"/>
        <c:axId val="157472256"/>
      </c:barChart>
      <c:catAx>
        <c:axId val="15747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7472256"/>
        <c:crosses val="autoZero"/>
        <c:auto val="1"/>
        <c:lblAlgn val="ctr"/>
        <c:lblOffset val="100"/>
        <c:noMultiLvlLbl val="1"/>
      </c:catAx>
      <c:valAx>
        <c:axId val="15747225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57470720"/>
        <c:crosses val="autoZero"/>
        <c:crossBetween val="between"/>
      </c:valAx>
    </c:plotArea>
    <c:plotVisOnly val="1"/>
    <c:dispBlanksAs val="gap"/>
    <c:showDLblsOverMax val="0"/>
  </c:chart>
  <c:spPr>
    <a:effectLst/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Ranking por tempo </a:t>
            </a:r>
          </a:p>
        </c:rich>
      </c:tx>
      <c:layout>
        <c:manualLayout>
          <c:xMode val="edge"/>
          <c:yMode val="edge"/>
          <c:x val="0.26983964646464648"/>
          <c:y val="2.450019967173584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Geral!$C$22</c:f>
              <c:strCache>
                <c:ptCount val="1"/>
                <c:pt idx="0">
                  <c:v>Tempo desde a abertura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strRef>
              <c:f>Geral!$B$23:$B$30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Geral!$C$23:$C$30</c:f>
              <c:numCache>
                <c:formatCode>General</c:formatCode>
                <c:ptCount val="8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5-4BCC-8EB8-363D843153DB}"/>
            </c:ext>
          </c:extLst>
        </c:ser>
        <c:ser>
          <c:idx val="2"/>
          <c:order val="1"/>
          <c:tx>
            <c:strRef>
              <c:f>Geral!$E$22</c:f>
              <c:strCache>
                <c:ptCount val="1"/>
                <c:pt idx="0">
                  <c:v>Tempo recebido em PR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Geral!$B$23:$B$30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Geral!$E$23:$E$30</c:f>
              <c:numCache>
                <c:formatCode>General</c:formatCode>
                <c:ptCount val="8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25-4BCC-8EB8-363D84315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940544"/>
        <c:axId val="158946432"/>
      </c:barChart>
      <c:catAx>
        <c:axId val="15894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8946432"/>
        <c:crosses val="autoZero"/>
        <c:auto val="1"/>
        <c:lblAlgn val="ctr"/>
        <c:lblOffset val="100"/>
        <c:noMultiLvlLbl val="0"/>
      </c:catAx>
      <c:valAx>
        <c:axId val="15894643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5894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1953030303030299"/>
          <c:y val="1.4908313413928106E-2"/>
          <c:w val="0.37071767676767675"/>
          <c:h val="0.1076886038073292"/>
        </c:manualLayout>
      </c:layout>
      <c:overlay val="1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200" b="1" i="0" baseline="0">
                <a:effectLst/>
              </a:rPr>
              <a:t>Qtd. por tempo do recebimento em Produtos</a:t>
            </a:r>
            <a:endParaRPr lang="pt-BR" sz="1200">
              <a:effectLst/>
              <a:latin typeface="+mn-lt"/>
            </a:endParaRPr>
          </a:p>
        </c:rich>
      </c:tx>
      <c:layout>
        <c:manualLayout>
          <c:xMode val="edge"/>
          <c:yMode val="edge"/>
          <c:x val="0.11795858585858587"/>
          <c:y val="4.35727841014615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7937928242889943E-2"/>
          <c:y val="0.19588197658605552"/>
          <c:w val="0.87473672538885017"/>
          <c:h val="0.68067509572805895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Geral!$O$5</c:f>
              <c:strCache>
                <c:ptCount val="1"/>
                <c:pt idx="0">
                  <c:v>1w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accent3">
                  <a:lumMod val="75000"/>
                </a:schemeClr>
              </a:solidFill>
            </a:ln>
          </c:spPr>
          <c:invertIfNegative val="0"/>
          <c:cat>
            <c:strRef>
              <c:f>Geral!$N$6:$N$13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Geral!$O$6:$O$13</c:f>
              <c:numCache>
                <c:formatCode>General</c:formatCode>
                <c:ptCount val="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17-4195-A3C0-5E660A24B97F}"/>
            </c:ext>
          </c:extLst>
        </c:ser>
        <c:ser>
          <c:idx val="1"/>
          <c:order val="1"/>
          <c:tx>
            <c:strRef>
              <c:f>Geral!$P$5</c:f>
              <c:strCache>
                <c:ptCount val="1"/>
                <c:pt idx="0">
                  <c:v>2w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CC9900"/>
              </a:solidFill>
            </a:ln>
          </c:spPr>
          <c:invertIfNegative val="0"/>
          <c:cat>
            <c:strRef>
              <c:f>Geral!$N$6:$N$13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Geral!$P$6:$P$13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17-4195-A3C0-5E660A24B97F}"/>
            </c:ext>
          </c:extLst>
        </c:ser>
        <c:ser>
          <c:idx val="0"/>
          <c:order val="2"/>
          <c:tx>
            <c:strRef>
              <c:f>Geral!$Q$5</c:f>
              <c:strCache>
                <c:ptCount val="1"/>
                <c:pt idx="0">
                  <c:v>3w+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  <c:invertIfNegative val="0"/>
          <c:cat>
            <c:strRef>
              <c:f>Geral!$N$6:$N$13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Geral!$Q$6:$Q$13</c:f>
              <c:numCache>
                <c:formatCode>General</c:formatCode>
                <c:ptCount val="8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17-4195-A3C0-5E660A24B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980736"/>
        <c:axId val="158994816"/>
      </c:barChart>
      <c:catAx>
        <c:axId val="15898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8994816"/>
        <c:crosses val="autoZero"/>
        <c:auto val="1"/>
        <c:lblAlgn val="ctr"/>
        <c:lblOffset val="100"/>
        <c:noMultiLvlLbl val="0"/>
      </c:catAx>
      <c:valAx>
        <c:axId val="15899481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58980736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87277070707070703"/>
          <c:y val="1.4708456225442278E-2"/>
          <c:w val="0.1199159090909091"/>
          <c:h val="0.16894107828128618"/>
        </c:manualLayout>
      </c:layout>
      <c:overlay val="1"/>
    </c:legend>
    <c:plotVisOnly val="1"/>
    <c:dispBlanksAs val="gap"/>
    <c:showDLblsOverMax val="0"/>
  </c:chart>
  <c:spPr>
    <a:effectLst/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pt-BR" sz="1200" b="1" i="0" baseline="0">
                <a:effectLst/>
              </a:rPr>
              <a:t>Qtd. pendentes e respondidos </a:t>
            </a:r>
            <a:endParaRPr lang="pt-BR" sz="1200">
              <a:effectLst/>
            </a:endParaRPr>
          </a:p>
        </c:rich>
      </c:tx>
      <c:layout>
        <c:manualLayout>
          <c:xMode val="edge"/>
          <c:yMode val="edge"/>
          <c:x val="0.22406565656565658"/>
          <c:y val="3.7015432098765434E-2"/>
        </c:manualLayout>
      </c:layout>
      <c:overlay val="1"/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Geral!$R$22</c:f>
              <c:strCache>
                <c:ptCount val="1"/>
                <c:pt idx="0">
                  <c:v>Total RS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</c:spPr>
          <c:invertIfNegative val="0"/>
          <c:cat>
            <c:strRef>
              <c:f>Geral!$N$23:$N$30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Geral!$R$23:$R$30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FF-442F-81AB-39F1D19374AD}"/>
            </c:ext>
          </c:extLst>
        </c:ser>
        <c:ser>
          <c:idx val="0"/>
          <c:order val="1"/>
          <c:tx>
            <c:strRef>
              <c:f>Geral!$Q$22</c:f>
              <c:strCache>
                <c:ptCount val="1"/>
                <c:pt idx="0">
                  <c:v>Total PD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CC9900"/>
              </a:solidFill>
            </a:ln>
          </c:spPr>
          <c:invertIfNegative val="0"/>
          <c:cat>
            <c:strRef>
              <c:f>Geral!$N$23:$N$30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Geral!$Q$23:$Q$30</c:f>
              <c:numCache>
                <c:formatCode>General</c:formatCode>
                <c:ptCount val="8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FF-442F-81AB-39F1D1937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9020544"/>
        <c:axId val="159022080"/>
      </c:barChart>
      <c:catAx>
        <c:axId val="15902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59022080"/>
        <c:crosses val="autoZero"/>
        <c:auto val="1"/>
        <c:lblAlgn val="ctr"/>
        <c:lblOffset val="100"/>
        <c:noMultiLvlLbl val="1"/>
      </c:catAx>
      <c:valAx>
        <c:axId val="15902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5902054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78400429292929297"/>
          <c:y val="2.3291280864197534E-2"/>
          <c:w val="0.19983712121212122"/>
          <c:h val="0.120125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200"/>
              <a:t>Recebidos últimos</a:t>
            </a:r>
            <a:r>
              <a:rPr lang="pt-BR" sz="1200" baseline="0"/>
              <a:t> 3 meses + atual</a:t>
            </a:r>
            <a:endParaRPr lang="pt-BR" sz="1200"/>
          </a:p>
        </c:rich>
      </c:tx>
      <c:layout>
        <c:manualLayout>
          <c:xMode val="edge"/>
          <c:yMode val="edge"/>
          <c:x val="0.25007297979797982"/>
          <c:y val="5.4324404238501739E-3"/>
        </c:manualLayout>
      </c:layout>
      <c:overlay val="0"/>
    </c:title>
    <c:autoTitleDeleted val="0"/>
    <c:plotArea>
      <c:layout/>
      <c:barChart>
        <c:barDir val="col"/>
        <c:grouping val="percentStacked"/>
        <c:varyColors val="0"/>
        <c:ser>
          <c:idx val="3"/>
          <c:order val="0"/>
          <c:tx>
            <c:strRef>
              <c:f>Geral!$R$39</c:f>
              <c:strCache>
                <c:ptCount val="1"/>
                <c:pt idx="0">
                  <c:v>Nov-01</c:v>
                </c:pt>
              </c:strCache>
            </c:strRef>
          </c:tx>
          <c:invertIfNegative val="0"/>
          <c:cat>
            <c:strRef>
              <c:f>Geral!$N$40:$N$47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Geral!$R$40:$R$47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0-46D3-A020-8A5D35C9A94D}"/>
            </c:ext>
          </c:extLst>
        </c:ser>
        <c:ser>
          <c:idx val="2"/>
          <c:order val="1"/>
          <c:tx>
            <c:strRef>
              <c:f>Geral!$Q$39</c:f>
              <c:strCache>
                <c:ptCount val="1"/>
                <c:pt idx="0">
                  <c:v>out-20</c:v>
                </c:pt>
              </c:strCache>
            </c:strRef>
          </c:tx>
          <c:invertIfNegative val="0"/>
          <c:cat>
            <c:strRef>
              <c:f>Geral!$N$40:$N$47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Geral!$Q$40:$Q$47</c:f>
              <c:numCache>
                <c:formatCode>General</c:formatCode>
                <c:ptCount val="8"/>
                <c:pt idx="0">
                  <c:v>1</c:v>
                </c:pt>
                <c:pt idx="1">
                  <c:v>6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60-46D3-A020-8A5D35C9A94D}"/>
            </c:ext>
          </c:extLst>
        </c:ser>
        <c:ser>
          <c:idx val="1"/>
          <c:order val="2"/>
          <c:tx>
            <c:strRef>
              <c:f>Geral!$P$39</c:f>
              <c:strCache>
                <c:ptCount val="1"/>
                <c:pt idx="0">
                  <c:v>set-20</c:v>
                </c:pt>
              </c:strCache>
            </c:strRef>
          </c:tx>
          <c:invertIfNegative val="0"/>
          <c:cat>
            <c:strRef>
              <c:f>Geral!$N$40:$N$47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Geral!$P$40:$P$47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60-46D3-A020-8A5D35C9A94D}"/>
            </c:ext>
          </c:extLst>
        </c:ser>
        <c:ser>
          <c:idx val="0"/>
          <c:order val="3"/>
          <c:tx>
            <c:strRef>
              <c:f>Geral!$O$39</c:f>
              <c:strCache>
                <c:ptCount val="1"/>
                <c:pt idx="0">
                  <c:v>ago-20</c:v>
                </c:pt>
              </c:strCache>
            </c:strRef>
          </c:tx>
          <c:invertIfNegative val="0"/>
          <c:cat>
            <c:strRef>
              <c:f>Geral!$N$40:$N$47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Geral!$O$40:$O$47</c:f>
              <c:numCache>
                <c:formatCode>General</c:formatCode>
                <c:ptCount val="8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17</c:v>
                </c:pt>
                <c:pt idx="6">
                  <c:v>0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60-46D3-A020-8A5D35C9A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159051776"/>
        <c:axId val="159053312"/>
      </c:barChart>
      <c:catAx>
        <c:axId val="15905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9053312"/>
        <c:crosses val="autoZero"/>
        <c:auto val="1"/>
        <c:lblAlgn val="ctr"/>
        <c:lblOffset val="100"/>
        <c:noMultiLvlLbl val="0"/>
      </c:catAx>
      <c:valAx>
        <c:axId val="159053312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159051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99267676767676"/>
          <c:y val="8.8367063492063497E-2"/>
          <c:w val="0.82886590909090907"/>
          <c:h val="8.2306349206349189E-2"/>
        </c:manualLayout>
      </c:layout>
      <c:overlay val="1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pt-BR" sz="1200" b="1" i="0" baseline="0">
                <a:effectLst/>
                <a:latin typeface="+mn-lt"/>
              </a:rPr>
              <a:t>Qtd. sem resposta  </a:t>
            </a:r>
            <a:endParaRPr lang="pt-BR" sz="1200">
              <a:effectLst/>
              <a:latin typeface="+mn-lt"/>
            </a:endParaRPr>
          </a:p>
        </c:rich>
      </c:tx>
      <c:layout>
        <c:manualLayout>
          <c:xMode val="edge"/>
          <c:yMode val="edge"/>
          <c:x val="0.35946657589227882"/>
          <c:y val="3.62412271145644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897254928466353E-2"/>
          <c:y val="0.16647969816068806"/>
          <c:w val="0.87621911358891202"/>
          <c:h val="0.7121875999022133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Produtos!$O$5</c:f>
              <c:strCache>
                <c:ptCount val="1"/>
                <c:pt idx="0">
                  <c:v>~1dia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accent3">
                  <a:lumMod val="75000"/>
                </a:schemeClr>
              </a:solidFill>
            </a:ln>
          </c:spPr>
          <c:invertIfNegative val="0"/>
          <c:cat>
            <c:strRef>
              <c:f>Produtos!$N$6:$N$13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Produtos!$O$6:$O$13</c:f>
              <c:numCache>
                <c:formatCode>General</c:formatCode>
                <c:ptCount val="8"/>
                <c:pt idx="0" formatCode="@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5-4C61-B252-87108C895D3D}"/>
            </c:ext>
          </c:extLst>
        </c:ser>
        <c:ser>
          <c:idx val="1"/>
          <c:order val="1"/>
          <c:tx>
            <c:strRef>
              <c:f>Produtos!$P$5</c:f>
              <c:strCache>
                <c:ptCount val="1"/>
                <c:pt idx="0">
                  <c:v>2dias+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  <c:invertIfNegative val="0"/>
          <c:cat>
            <c:strRef>
              <c:f>Produtos!$N$6:$N$13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Produtos!$P$6:$P$13</c:f>
              <c:numCache>
                <c:formatCode>@</c:formatCode>
                <c:ptCount val="8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2</c:v>
                </c:pt>
                <c:pt idx="4" formatCode="General">
                  <c:v>1</c:v>
                </c:pt>
                <c:pt idx="5" formatCode="General">
                  <c:v>1</c:v>
                </c:pt>
                <c:pt idx="6" formatCode="General">
                  <c:v>3</c:v>
                </c:pt>
                <c:pt idx="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5-4C61-B252-87108C895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9185920"/>
        <c:axId val="157856512"/>
      </c:barChart>
      <c:catAx>
        <c:axId val="15918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7856512"/>
        <c:crosses val="autoZero"/>
        <c:auto val="1"/>
        <c:lblAlgn val="ctr"/>
        <c:lblOffset val="100"/>
        <c:noMultiLvlLbl val="0"/>
      </c:catAx>
      <c:valAx>
        <c:axId val="157856512"/>
        <c:scaling>
          <c:orientation val="minMax"/>
        </c:scaling>
        <c:delete val="0"/>
        <c:axPos val="l"/>
        <c:majorGridlines/>
        <c:numFmt formatCode="@" sourceLinked="1"/>
        <c:majorTickMark val="none"/>
        <c:minorTickMark val="none"/>
        <c:tickLblPos val="nextTo"/>
        <c:crossAx val="159185920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4719321298758288"/>
          <c:y val="9.6866040367968916E-3"/>
          <c:w val="0.14208439304496503"/>
          <c:h val="0.13967282505936435"/>
        </c:manualLayout>
      </c:layout>
      <c:overlay val="1"/>
    </c:legend>
    <c:plotVisOnly val="1"/>
    <c:dispBlanksAs val="gap"/>
    <c:showDLblsOverMax val="0"/>
  </c:chart>
  <c:spPr>
    <a:effectLst/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200" b="1" i="0" baseline="0">
                <a:effectLst/>
                <a:latin typeface="+mn-lt"/>
              </a:rPr>
              <a:t>Qtd. por tempo  (recebido em PR)</a:t>
            </a:r>
            <a:endParaRPr lang="pt-BR" sz="1200">
              <a:effectLst/>
              <a:latin typeface="+mn-lt"/>
            </a:endParaRPr>
          </a:p>
        </c:rich>
      </c:tx>
      <c:layout>
        <c:manualLayout>
          <c:xMode val="edge"/>
          <c:yMode val="edge"/>
          <c:x val="0.18603560606060607"/>
          <c:y val="4.850038051750380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7937928242889943E-2"/>
          <c:y val="0.19588197658605552"/>
          <c:w val="0.87473672538885017"/>
          <c:h val="0.68067509572805895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Produtos!$C$5</c:f>
              <c:strCache>
                <c:ptCount val="1"/>
                <c:pt idx="0">
                  <c:v>1w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accent3">
                  <a:lumMod val="75000"/>
                </a:schemeClr>
              </a:solidFill>
            </a:ln>
          </c:spPr>
          <c:invertIfNegative val="0"/>
          <c:cat>
            <c:strRef>
              <c:f>Produtos!$B$6:$B$13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Produtos!$C$6:$C$13</c:f>
              <c:numCache>
                <c:formatCode>General</c:formatCode>
                <c:ptCount val="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96-4239-9269-6E7CC21ADF0D}"/>
            </c:ext>
          </c:extLst>
        </c:ser>
        <c:ser>
          <c:idx val="1"/>
          <c:order val="1"/>
          <c:tx>
            <c:strRef>
              <c:f>Produtos!$D$5</c:f>
              <c:strCache>
                <c:ptCount val="1"/>
                <c:pt idx="0">
                  <c:v>2w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CC9900"/>
              </a:solidFill>
            </a:ln>
          </c:spPr>
          <c:invertIfNegative val="0"/>
          <c:cat>
            <c:strRef>
              <c:f>Produtos!$B$6:$B$13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Produtos!$D$6:$D$13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96-4239-9269-6E7CC21ADF0D}"/>
            </c:ext>
          </c:extLst>
        </c:ser>
        <c:ser>
          <c:idx val="0"/>
          <c:order val="2"/>
          <c:tx>
            <c:strRef>
              <c:f>Produtos!$E$5</c:f>
              <c:strCache>
                <c:ptCount val="1"/>
                <c:pt idx="0">
                  <c:v>3w+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  <c:invertIfNegative val="0"/>
          <c:cat>
            <c:strRef>
              <c:f>Produtos!$B$6:$B$13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Produtos!$E$6:$E$13</c:f>
              <c:numCache>
                <c:formatCode>General</c:formatCode>
                <c:ptCount val="8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96-4239-9269-6E7CC21AD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971968"/>
        <c:axId val="157973504"/>
      </c:barChart>
      <c:catAx>
        <c:axId val="15797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7973504"/>
        <c:crosses val="autoZero"/>
        <c:auto val="1"/>
        <c:lblAlgn val="ctr"/>
        <c:lblOffset val="100"/>
        <c:noMultiLvlLbl val="0"/>
      </c:catAx>
      <c:valAx>
        <c:axId val="15797350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57971968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87315061554158668"/>
          <c:y val="9.8551690851450217E-3"/>
          <c:w val="0.11524782087033135"/>
          <c:h val="0.1642616733642116"/>
        </c:manualLayout>
      </c:layout>
      <c:overlay val="1"/>
    </c:legend>
    <c:plotVisOnly val="1"/>
    <c:dispBlanksAs val="gap"/>
    <c:showDLblsOverMax val="0"/>
  </c:chart>
  <c:spPr>
    <a:effectLst/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pt-BR" sz="1200" b="1" i="0" baseline="0">
                <a:effectLst/>
                <a:latin typeface="+mn-lt"/>
              </a:rPr>
              <a:t>Perda de prazos </a:t>
            </a:r>
            <a:endParaRPr lang="pt-BR" sz="1200">
              <a:effectLst/>
              <a:latin typeface="+mn-lt"/>
            </a:endParaRPr>
          </a:p>
        </c:rich>
      </c:tx>
      <c:layout>
        <c:manualLayout>
          <c:xMode val="edge"/>
          <c:yMode val="edge"/>
          <c:x val="0.40847247474747472"/>
          <c:y val="4.546635367762128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897254928466353E-2"/>
          <c:y val="0.16647969816068806"/>
          <c:w val="0.87621911358891202"/>
          <c:h val="0.71218759990221336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Produtos!$R$22</c:f>
              <c:strCache>
                <c:ptCount val="1"/>
                <c:pt idx="0">
                  <c:v>Recebidos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</c:spPr>
          <c:invertIfNegative val="0"/>
          <c:val>
            <c:numRef>
              <c:f>Produtos!$R$23:$R$30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B3-492C-AA45-50BA7CB6798E}"/>
            </c:ext>
          </c:extLst>
        </c:ser>
        <c:ser>
          <c:idx val="0"/>
          <c:order val="1"/>
          <c:tx>
            <c:strRef>
              <c:f>Produtos!$P$22</c:f>
              <c:strCache>
                <c:ptCount val="1"/>
                <c:pt idx="0">
                  <c:v>SR</c:v>
                </c:pt>
              </c:strCache>
            </c:strRef>
          </c:tx>
          <c:spPr>
            <a:solidFill>
              <a:srgbClr val="DAA600"/>
            </a:solidFill>
            <a:ln>
              <a:solidFill>
                <a:srgbClr val="CC9900"/>
              </a:solidFill>
            </a:ln>
          </c:spPr>
          <c:invertIfNegative val="0"/>
          <c:cat>
            <c:strRef>
              <c:f>Produtos!$N$23:$N$32</c:f>
              <c:strCache>
                <c:ptCount val="10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  <c:pt idx="8">
                  <c:v>-</c:v>
                </c:pt>
                <c:pt idx="9">
                  <c:v>-</c:v>
                </c:pt>
              </c:strCache>
            </c:strRef>
          </c:cat>
          <c:val>
            <c:numRef>
              <c:f>Produtos!$P$23:$P$30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B3-492C-AA45-50BA7CB6798E}"/>
            </c:ext>
          </c:extLst>
        </c:ser>
        <c:ser>
          <c:idx val="1"/>
          <c:order val="2"/>
          <c:tx>
            <c:strRef>
              <c:f>Produtos!$Q$22</c:f>
              <c:strCache>
                <c:ptCount val="1"/>
                <c:pt idx="0">
                  <c:v>PD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  <c:invertIfNegative val="0"/>
          <c:cat>
            <c:strRef>
              <c:f>Produtos!$N$23:$N$32</c:f>
              <c:strCache>
                <c:ptCount val="10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  <c:pt idx="8">
                  <c:v>-</c:v>
                </c:pt>
                <c:pt idx="9">
                  <c:v>-</c:v>
                </c:pt>
              </c:strCache>
            </c:strRef>
          </c:cat>
          <c:val>
            <c:numRef>
              <c:f>Produtos!$Q$23:$Q$30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B3-492C-AA45-50BA7CB67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876992"/>
        <c:axId val="157878528"/>
      </c:barChart>
      <c:catAx>
        <c:axId val="15787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7878528"/>
        <c:crosses val="autoZero"/>
        <c:auto val="1"/>
        <c:lblAlgn val="ctr"/>
        <c:lblOffset val="100"/>
        <c:noMultiLvlLbl val="0"/>
      </c:catAx>
      <c:valAx>
        <c:axId val="15787852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57876992"/>
        <c:crosses val="autoZero"/>
        <c:crossBetween val="between"/>
        <c:minorUnit val="1"/>
      </c:valAx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2225934343434348"/>
          <c:y val="0"/>
          <c:w val="0.17774065656565657"/>
          <c:h val="6.4474569640062596E-2"/>
        </c:manualLayout>
      </c:layout>
      <c:overlay val="1"/>
    </c:legend>
    <c:plotVisOnly val="1"/>
    <c:dispBlanksAs val="gap"/>
    <c:showDLblsOverMax val="0"/>
  </c:chart>
  <c:spPr>
    <a:effectLst/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Produtos</a:t>
            </a:r>
          </a:p>
        </c:rich>
      </c:tx>
      <c:layout>
        <c:manualLayout>
          <c:xMode val="edge"/>
          <c:yMode val="edge"/>
          <c:x val="0.42506811575081299"/>
          <c:y val="5.9479055564626654E-2"/>
        </c:manualLayout>
      </c:layout>
      <c:overlay val="0"/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Produtos!$C$39</c:f>
              <c:strCache>
                <c:ptCount val="1"/>
                <c:pt idx="0">
                  <c:v>Recebidos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</c:spPr>
          <c:invertIfNegative val="0"/>
          <c:cat>
            <c:strRef>
              <c:f>Produtos!$B$40:$B$52</c:f>
              <c:strCache>
                <c:ptCount val="13"/>
                <c:pt idx="0">
                  <c:v>nov-19</c:v>
                </c:pt>
                <c:pt idx="1">
                  <c:v>dez-19</c:v>
                </c:pt>
                <c:pt idx="2">
                  <c:v>jan-20</c:v>
                </c:pt>
                <c:pt idx="3">
                  <c:v>fev-20</c:v>
                </c:pt>
                <c:pt idx="4">
                  <c:v>mar-20</c:v>
                </c:pt>
                <c:pt idx="5">
                  <c:v>abr-20</c:v>
                </c:pt>
                <c:pt idx="6">
                  <c:v>mai-20</c:v>
                </c:pt>
                <c:pt idx="7">
                  <c:v>jun-20</c:v>
                </c:pt>
                <c:pt idx="8">
                  <c:v>jul-20</c:v>
                </c:pt>
                <c:pt idx="9">
                  <c:v>ago-20</c:v>
                </c:pt>
                <c:pt idx="10">
                  <c:v>set-20</c:v>
                </c:pt>
                <c:pt idx="11">
                  <c:v>out-20</c:v>
                </c:pt>
                <c:pt idx="12">
                  <c:v>Nov-20</c:v>
                </c:pt>
              </c:strCache>
            </c:strRef>
          </c:cat>
          <c:val>
            <c:numRef>
              <c:f>Produtos!$C$40:$C$52</c:f>
              <c:numCache>
                <c:formatCode>General</c:formatCode>
                <c:ptCount val="13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14</c:v>
                </c:pt>
                <c:pt idx="9">
                  <c:v>14</c:v>
                </c:pt>
                <c:pt idx="10">
                  <c:v>19</c:v>
                </c:pt>
                <c:pt idx="11">
                  <c:v>5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6C-4400-A34A-72DDF58F79F3}"/>
            </c:ext>
          </c:extLst>
        </c:ser>
        <c:ser>
          <c:idx val="0"/>
          <c:order val="1"/>
          <c:tx>
            <c:strRef>
              <c:f>Produtos!$E$39</c:f>
              <c:strCache>
                <c:ptCount val="1"/>
                <c:pt idx="0">
                  <c:v>SR</c:v>
                </c:pt>
              </c:strCache>
            </c:strRef>
          </c:tx>
          <c:spPr>
            <a:solidFill>
              <a:srgbClr val="DAA600"/>
            </a:solidFill>
            <a:ln>
              <a:solidFill>
                <a:srgbClr val="CC9900"/>
              </a:solidFill>
            </a:ln>
          </c:spPr>
          <c:invertIfNegative val="0"/>
          <c:cat>
            <c:strRef>
              <c:f>Produtos!$B$40:$B$52</c:f>
              <c:strCache>
                <c:ptCount val="13"/>
                <c:pt idx="0">
                  <c:v>nov-19</c:v>
                </c:pt>
                <c:pt idx="1">
                  <c:v>dez-19</c:v>
                </c:pt>
                <c:pt idx="2">
                  <c:v>jan-20</c:v>
                </c:pt>
                <c:pt idx="3">
                  <c:v>fev-20</c:v>
                </c:pt>
                <c:pt idx="4">
                  <c:v>mar-20</c:v>
                </c:pt>
                <c:pt idx="5">
                  <c:v>abr-20</c:v>
                </c:pt>
                <c:pt idx="6">
                  <c:v>mai-20</c:v>
                </c:pt>
                <c:pt idx="7">
                  <c:v>jun-20</c:v>
                </c:pt>
                <c:pt idx="8">
                  <c:v>jul-20</c:v>
                </c:pt>
                <c:pt idx="9">
                  <c:v>ago-20</c:v>
                </c:pt>
                <c:pt idx="10">
                  <c:v>set-20</c:v>
                </c:pt>
                <c:pt idx="11">
                  <c:v>out-20</c:v>
                </c:pt>
                <c:pt idx="12">
                  <c:v>Nov-20</c:v>
                </c:pt>
              </c:strCache>
            </c:strRef>
          </c:cat>
          <c:val>
            <c:numRef>
              <c:f>Produtos!$E$40:$E$52</c:f>
              <c:numCache>
                <c:formatCode>General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2</c:v>
                </c:pt>
                <c:pt idx="10">
                  <c:v>6</c:v>
                </c:pt>
                <c:pt idx="11">
                  <c:v>3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6C-4400-A34A-72DDF58F79F3}"/>
            </c:ext>
          </c:extLst>
        </c:ser>
        <c:ser>
          <c:idx val="1"/>
          <c:order val="2"/>
          <c:tx>
            <c:strRef>
              <c:f>Produtos!$F$39</c:f>
              <c:strCache>
                <c:ptCount val="1"/>
                <c:pt idx="0">
                  <c:v>PD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  <c:invertIfNegative val="0"/>
          <c:cat>
            <c:strRef>
              <c:f>Produtos!$B$40:$B$52</c:f>
              <c:strCache>
                <c:ptCount val="13"/>
                <c:pt idx="0">
                  <c:v>nov-19</c:v>
                </c:pt>
                <c:pt idx="1">
                  <c:v>dez-19</c:v>
                </c:pt>
                <c:pt idx="2">
                  <c:v>jan-20</c:v>
                </c:pt>
                <c:pt idx="3">
                  <c:v>fev-20</c:v>
                </c:pt>
                <c:pt idx="4">
                  <c:v>mar-20</c:v>
                </c:pt>
                <c:pt idx="5">
                  <c:v>abr-20</c:v>
                </c:pt>
                <c:pt idx="6">
                  <c:v>mai-20</c:v>
                </c:pt>
                <c:pt idx="7">
                  <c:v>jun-20</c:v>
                </c:pt>
                <c:pt idx="8">
                  <c:v>jul-20</c:v>
                </c:pt>
                <c:pt idx="9">
                  <c:v>ago-20</c:v>
                </c:pt>
                <c:pt idx="10">
                  <c:v>set-20</c:v>
                </c:pt>
                <c:pt idx="11">
                  <c:v>out-20</c:v>
                </c:pt>
                <c:pt idx="12">
                  <c:v>Nov-20</c:v>
                </c:pt>
              </c:strCache>
            </c:strRef>
          </c:cat>
          <c:val>
            <c:numRef>
              <c:f>Produtos!$F$40:$F$52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6</c:v>
                </c:pt>
                <c:pt idx="9">
                  <c:v>2</c:v>
                </c:pt>
                <c:pt idx="10">
                  <c:v>6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6C-4400-A34A-72DDF58F7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925760"/>
        <c:axId val="157927296"/>
      </c:barChart>
      <c:catAx>
        <c:axId val="15792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7927296"/>
        <c:crosses val="autoZero"/>
        <c:auto val="1"/>
        <c:lblAlgn val="ctr"/>
        <c:lblOffset val="100"/>
        <c:noMultiLvlLbl val="0"/>
      </c:catAx>
      <c:valAx>
        <c:axId val="15792729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57925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7650216154657894"/>
          <c:y val="0"/>
          <c:w val="0.31063314790114344"/>
          <c:h val="9.0313999938429104E-2"/>
        </c:manualLayout>
      </c:layout>
      <c:overlay val="1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200"/>
              <a:t>Visão por jogo</a:t>
            </a:r>
          </a:p>
        </c:rich>
      </c:tx>
      <c:layout>
        <c:manualLayout>
          <c:xMode val="edge"/>
          <c:yMode val="edge"/>
          <c:x val="0.3912641414141414"/>
          <c:y val="4.5570031298904537E-2"/>
        </c:manualLayout>
      </c:layout>
      <c:overlay val="0"/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Produtos!$R$39</c:f>
              <c:strCache>
                <c:ptCount val="1"/>
                <c:pt idx="0">
                  <c:v>Recebido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</c:spPr>
          <c:invertIfNegative val="0"/>
          <c:cat>
            <c:strRef>
              <c:f>Produtos!$N$40:$N$52</c:f>
              <c:strCache>
                <c:ptCount val="13"/>
                <c:pt idx="0">
                  <c:v>nov-19</c:v>
                </c:pt>
                <c:pt idx="1">
                  <c:v>dez-19</c:v>
                </c:pt>
                <c:pt idx="2">
                  <c:v>jan-20</c:v>
                </c:pt>
                <c:pt idx="3">
                  <c:v>fev-20</c:v>
                </c:pt>
                <c:pt idx="4">
                  <c:v>mar-20</c:v>
                </c:pt>
                <c:pt idx="5">
                  <c:v>abr-20</c:v>
                </c:pt>
                <c:pt idx="6">
                  <c:v>mai-20</c:v>
                </c:pt>
                <c:pt idx="7">
                  <c:v>jun-20</c:v>
                </c:pt>
                <c:pt idx="8">
                  <c:v>jul-20</c:v>
                </c:pt>
                <c:pt idx="9">
                  <c:v>ago-20</c:v>
                </c:pt>
                <c:pt idx="10">
                  <c:v>set-20</c:v>
                </c:pt>
                <c:pt idx="11">
                  <c:v>out-20</c:v>
                </c:pt>
                <c:pt idx="12">
                  <c:v>Nov-20</c:v>
                </c:pt>
              </c:strCache>
            </c:strRef>
          </c:cat>
          <c:val>
            <c:numRef>
              <c:f>Produtos!$R$40:$R$52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8-4E51-BC36-FC9B71187D5D}"/>
            </c:ext>
          </c:extLst>
        </c:ser>
        <c:ser>
          <c:idx val="0"/>
          <c:order val="1"/>
          <c:tx>
            <c:strRef>
              <c:f>Produtos!$P$39</c:f>
              <c:strCache>
                <c:ptCount val="1"/>
                <c:pt idx="0">
                  <c:v>SR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</c:spPr>
          <c:invertIfNegative val="0"/>
          <c:cat>
            <c:strRef>
              <c:f>Produtos!$N$40:$N$52</c:f>
              <c:strCache>
                <c:ptCount val="13"/>
                <c:pt idx="0">
                  <c:v>nov-19</c:v>
                </c:pt>
                <c:pt idx="1">
                  <c:v>dez-19</c:v>
                </c:pt>
                <c:pt idx="2">
                  <c:v>jan-20</c:v>
                </c:pt>
                <c:pt idx="3">
                  <c:v>fev-20</c:v>
                </c:pt>
                <c:pt idx="4">
                  <c:v>mar-20</c:v>
                </c:pt>
                <c:pt idx="5">
                  <c:v>abr-20</c:v>
                </c:pt>
                <c:pt idx="6">
                  <c:v>mai-20</c:v>
                </c:pt>
                <c:pt idx="7">
                  <c:v>jun-20</c:v>
                </c:pt>
                <c:pt idx="8">
                  <c:v>jul-20</c:v>
                </c:pt>
                <c:pt idx="9">
                  <c:v>ago-20</c:v>
                </c:pt>
                <c:pt idx="10">
                  <c:v>set-20</c:v>
                </c:pt>
                <c:pt idx="11">
                  <c:v>out-20</c:v>
                </c:pt>
                <c:pt idx="12">
                  <c:v>Nov-20</c:v>
                </c:pt>
              </c:strCache>
            </c:strRef>
          </c:cat>
          <c:val>
            <c:numRef>
              <c:f>Produtos!$P$40:$P$52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8-4E51-BC36-FC9B71187D5D}"/>
            </c:ext>
          </c:extLst>
        </c:ser>
        <c:ser>
          <c:idx val="1"/>
          <c:order val="2"/>
          <c:tx>
            <c:strRef>
              <c:f>Produtos!$Q$39</c:f>
              <c:strCache>
                <c:ptCount val="1"/>
                <c:pt idx="0">
                  <c:v>PD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  <c:invertIfNegative val="0"/>
          <c:cat>
            <c:strRef>
              <c:f>Produtos!$N$40:$N$52</c:f>
              <c:strCache>
                <c:ptCount val="13"/>
                <c:pt idx="0">
                  <c:v>nov-19</c:v>
                </c:pt>
                <c:pt idx="1">
                  <c:v>dez-19</c:v>
                </c:pt>
                <c:pt idx="2">
                  <c:v>jan-20</c:v>
                </c:pt>
                <c:pt idx="3">
                  <c:v>fev-20</c:v>
                </c:pt>
                <c:pt idx="4">
                  <c:v>mar-20</c:v>
                </c:pt>
                <c:pt idx="5">
                  <c:v>abr-20</c:v>
                </c:pt>
                <c:pt idx="6">
                  <c:v>mai-20</c:v>
                </c:pt>
                <c:pt idx="7">
                  <c:v>jun-20</c:v>
                </c:pt>
                <c:pt idx="8">
                  <c:v>jul-20</c:v>
                </c:pt>
                <c:pt idx="9">
                  <c:v>ago-20</c:v>
                </c:pt>
                <c:pt idx="10">
                  <c:v>set-20</c:v>
                </c:pt>
                <c:pt idx="11">
                  <c:v>out-20</c:v>
                </c:pt>
                <c:pt idx="12">
                  <c:v>Nov-20</c:v>
                </c:pt>
              </c:strCache>
            </c:strRef>
          </c:cat>
          <c:val>
            <c:numRef>
              <c:f>Produtos!$Q$40:$Q$52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8-4E51-BC36-FC9B71187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159456640"/>
        <c:axId val="159458432"/>
      </c:barChart>
      <c:catAx>
        <c:axId val="1594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59458432"/>
        <c:crosses val="autoZero"/>
        <c:auto val="1"/>
        <c:lblAlgn val="ctr"/>
        <c:lblOffset val="100"/>
        <c:noMultiLvlLbl val="0"/>
      </c:catAx>
      <c:valAx>
        <c:axId val="15945843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594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147247474747472"/>
          <c:y val="1.6424100156494522E-3"/>
          <c:w val="0.32607803030303029"/>
          <c:h val="0.10060993740219093"/>
        </c:manualLayout>
      </c:layout>
      <c:overlay val="1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200" b="1" i="0" baseline="0">
                <a:effectLst/>
                <a:latin typeface="+mn-lt"/>
              </a:rPr>
              <a:t>Acompanhamento de RS</a:t>
            </a:r>
            <a:endParaRPr lang="pt-BR" sz="1200">
              <a:effectLst/>
              <a:latin typeface="+mn-lt"/>
            </a:endParaRPr>
          </a:p>
        </c:rich>
      </c:tx>
      <c:layout>
        <c:manualLayout>
          <c:xMode val="edge"/>
          <c:yMode val="edge"/>
          <c:x val="0.18603560606060607"/>
          <c:y val="4.850038051750380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7937928242889943E-2"/>
          <c:y val="0.19588197658605552"/>
          <c:w val="0.87473672538885017"/>
          <c:h val="0.68067509572805895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Produtos!$C$22</c:f>
              <c:strCache>
                <c:ptCount val="1"/>
                <c:pt idx="0">
                  <c:v>1m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accent3">
                  <a:lumMod val="75000"/>
                </a:schemeClr>
              </a:solidFill>
            </a:ln>
          </c:spPr>
          <c:invertIfNegative val="0"/>
          <c:cat>
            <c:strRef>
              <c:f>Produtos!$B$23:$B$30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Produtos!$C$23:$C$30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EF-4406-B842-DD198E51F9DD}"/>
            </c:ext>
          </c:extLst>
        </c:ser>
        <c:ser>
          <c:idx val="1"/>
          <c:order val="1"/>
          <c:tx>
            <c:strRef>
              <c:f>Produtos!$D$22</c:f>
              <c:strCache>
                <c:ptCount val="1"/>
                <c:pt idx="0">
                  <c:v>3m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CC9900"/>
              </a:solidFill>
            </a:ln>
          </c:spPr>
          <c:invertIfNegative val="0"/>
          <c:cat>
            <c:strRef>
              <c:f>Produtos!$B$23:$B$30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Produtos!$D$23:$D$30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EF-4406-B842-DD198E51F9DD}"/>
            </c:ext>
          </c:extLst>
        </c:ser>
        <c:ser>
          <c:idx val="0"/>
          <c:order val="2"/>
          <c:tx>
            <c:strRef>
              <c:f>Produtos!$E$22</c:f>
              <c:strCache>
                <c:ptCount val="1"/>
                <c:pt idx="0">
                  <c:v>3m+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  <c:invertIfNegative val="0"/>
          <c:cat>
            <c:strRef>
              <c:f>Produtos!$B$23:$B$30</c:f>
              <c:strCache>
                <c:ptCount val="8"/>
                <c:pt idx="0">
                  <c:v>EX7</c:v>
                </c:pt>
                <c:pt idx="1">
                  <c:v>EX1</c:v>
                </c:pt>
                <c:pt idx="2">
                  <c:v>EX4</c:v>
                </c:pt>
                <c:pt idx="3">
                  <c:v>EX6</c:v>
                </c:pt>
                <c:pt idx="4">
                  <c:v>EX2</c:v>
                </c:pt>
                <c:pt idx="5">
                  <c:v>EX3</c:v>
                </c:pt>
                <c:pt idx="6">
                  <c:v>EX5</c:v>
                </c:pt>
                <c:pt idx="7">
                  <c:v>EX8</c:v>
                </c:pt>
              </c:strCache>
            </c:strRef>
          </c:cat>
          <c:val>
            <c:numRef>
              <c:f>Produtos!$E$23:$E$30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EF-4406-B842-DD198E51F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9496832"/>
        <c:axId val="159502720"/>
      </c:barChart>
      <c:catAx>
        <c:axId val="15949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9502720"/>
        <c:crosses val="autoZero"/>
        <c:auto val="1"/>
        <c:lblAlgn val="ctr"/>
        <c:lblOffset val="100"/>
        <c:noMultiLvlLbl val="1"/>
      </c:catAx>
      <c:valAx>
        <c:axId val="159502720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crossAx val="1594968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315061554158668"/>
          <c:y val="9.8551690851450217E-3"/>
          <c:w val="0.11524782087033135"/>
          <c:h val="0.1642616733642116"/>
        </c:manualLayout>
      </c:layout>
      <c:overlay val="1"/>
    </c:legend>
    <c:plotVisOnly val="1"/>
    <c:dispBlanksAs val="gap"/>
    <c:showDLblsOverMax val="0"/>
  </c:chart>
  <c:spPr>
    <a:effectLst/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0"/>
    </mc:Choice>
    <mc:Fallback>
      <c:style val="20"/>
    </mc:Fallback>
  </mc:AlternateContent>
  <c:chart>
    <c:title>
      <c:tx>
        <c:rich>
          <a:bodyPr/>
          <a:lstStyle/>
          <a:p>
            <a:pPr>
              <a:defRPr sz="1300"/>
            </a:pPr>
            <a:r>
              <a:rPr lang="pt-BR" sz="1300"/>
              <a:t>Faltas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'Fórum e Sugestões'!$B$2</c:f>
              <c:strCache>
                <c:ptCount val="1"/>
                <c:pt idx="0">
                  <c:v>Bugs Conhecidos</c:v>
                </c:pt>
              </c:strCache>
            </c:strRef>
          </c:tx>
          <c:invertIfNegative val="0"/>
          <c:cat>
            <c:strRef>
              <c:f>'Fórum e Sugestões'!$A$3:$A$11</c:f>
              <c:strCache>
                <c:ptCount val="8"/>
                <c:pt idx="0">
                  <c:v>EX1</c:v>
                </c:pt>
                <c:pt idx="1">
                  <c:v>EX2</c:v>
                </c:pt>
                <c:pt idx="2">
                  <c:v>EX3</c:v>
                </c:pt>
                <c:pt idx="3">
                  <c:v>EX4</c:v>
                </c:pt>
                <c:pt idx="4">
                  <c:v>EX5</c:v>
                </c:pt>
                <c:pt idx="5">
                  <c:v>EX6</c:v>
                </c:pt>
                <c:pt idx="6">
                  <c:v>EX7</c:v>
                </c:pt>
                <c:pt idx="7">
                  <c:v>EX8</c:v>
                </c:pt>
              </c:strCache>
            </c:strRef>
          </c:cat>
          <c:val>
            <c:numRef>
              <c:f>'Fórum e Sugestões'!$B$3:$B$11</c:f>
              <c:numCache>
                <c:formatCode>General</c:formatCode>
                <c:ptCount val="8"/>
                <c:pt idx="0">
                  <c:v>5.5</c:v>
                </c:pt>
                <c:pt idx="1">
                  <c:v>3.5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3.5</c:v>
                </c:pt>
                <c:pt idx="7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67-45AF-BE8C-B9EC3E5CBEC3}"/>
            </c:ext>
          </c:extLst>
        </c:ser>
        <c:ser>
          <c:idx val="1"/>
          <c:order val="1"/>
          <c:tx>
            <c:strRef>
              <c:f>'Fórum e Sugestões'!$C$2</c:f>
              <c:strCache>
                <c:ptCount val="1"/>
                <c:pt idx="0">
                  <c:v>Sugestões</c:v>
                </c:pt>
              </c:strCache>
            </c:strRef>
          </c:tx>
          <c:invertIfNegative val="0"/>
          <c:cat>
            <c:strRef>
              <c:f>'Fórum e Sugestões'!$A$3:$A$11</c:f>
              <c:strCache>
                <c:ptCount val="8"/>
                <c:pt idx="0">
                  <c:v>EX1</c:v>
                </c:pt>
                <c:pt idx="1">
                  <c:v>EX2</c:v>
                </c:pt>
                <c:pt idx="2">
                  <c:v>EX3</c:v>
                </c:pt>
                <c:pt idx="3">
                  <c:v>EX4</c:v>
                </c:pt>
                <c:pt idx="4">
                  <c:v>EX5</c:v>
                </c:pt>
                <c:pt idx="5">
                  <c:v>EX6</c:v>
                </c:pt>
                <c:pt idx="6">
                  <c:v>EX7</c:v>
                </c:pt>
                <c:pt idx="7">
                  <c:v>EX8</c:v>
                </c:pt>
              </c:strCache>
            </c:strRef>
          </c:cat>
          <c:val>
            <c:numRef>
              <c:f>'Fórum e Sugestões'!$C$3:$C$11</c:f>
              <c:numCache>
                <c:formatCode>General</c:formatCode>
                <c:ptCount val="8"/>
                <c:pt idx="0">
                  <c:v>3</c:v>
                </c:pt>
                <c:pt idx="1">
                  <c:v>7</c:v>
                </c:pt>
                <c:pt idx="2">
                  <c:v>1.5</c:v>
                </c:pt>
                <c:pt idx="3">
                  <c:v>0</c:v>
                </c:pt>
                <c:pt idx="4">
                  <c:v>2.5</c:v>
                </c:pt>
                <c:pt idx="5">
                  <c:v>3.5</c:v>
                </c:pt>
                <c:pt idx="6">
                  <c:v>0.5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67-45AF-BE8C-B9EC3E5CB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9307264"/>
        <c:axId val="159308800"/>
      </c:barChart>
      <c:catAx>
        <c:axId val="159307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59308800"/>
        <c:crosses val="autoZero"/>
        <c:auto val="1"/>
        <c:lblAlgn val="ctr"/>
        <c:lblOffset val="100"/>
        <c:noMultiLvlLbl val="0"/>
      </c:catAx>
      <c:valAx>
        <c:axId val="15930880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59307264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69001198337602276"/>
          <c:y val="1.2183520728031269E-2"/>
          <c:w val="0.26921340791695336"/>
          <c:h val="0.20965696679219445"/>
        </c:manualLayout>
      </c:layout>
      <c:overlay val="1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89645</xdr:colOff>
      <xdr:row>3</xdr:row>
      <xdr:rowOff>7816</xdr:rowOff>
    </xdr:from>
    <xdr:to>
      <xdr:col>11</xdr:col>
      <xdr:colOff>631851</xdr:colOff>
      <xdr:row>19</xdr:row>
      <xdr:rowOff>22463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78442</xdr:colOff>
      <xdr:row>37</xdr:row>
      <xdr:rowOff>0</xdr:rowOff>
    </xdr:from>
    <xdr:to>
      <xdr:col>11</xdr:col>
      <xdr:colOff>620648</xdr:colOff>
      <xdr:row>53</xdr:row>
      <xdr:rowOff>14647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89647</xdr:colOff>
      <xdr:row>20</xdr:row>
      <xdr:rowOff>11205</xdr:rowOff>
    </xdr:from>
    <xdr:to>
      <xdr:col>11</xdr:col>
      <xdr:colOff>631853</xdr:colOff>
      <xdr:row>36</xdr:row>
      <xdr:rowOff>25852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78441</xdr:colOff>
      <xdr:row>2</xdr:row>
      <xdr:rowOff>89646</xdr:rowOff>
    </xdr:from>
    <xdr:to>
      <xdr:col>23</xdr:col>
      <xdr:colOff>620647</xdr:colOff>
      <xdr:row>19</xdr:row>
      <xdr:rowOff>14646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78441</xdr:colOff>
      <xdr:row>20</xdr:row>
      <xdr:rowOff>11764</xdr:rowOff>
    </xdr:from>
    <xdr:to>
      <xdr:col>23</xdr:col>
      <xdr:colOff>620646</xdr:colOff>
      <xdr:row>36</xdr:row>
      <xdr:rowOff>26411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100852</xdr:colOff>
      <xdr:row>37</xdr:row>
      <xdr:rowOff>11205</xdr:rowOff>
    </xdr:from>
    <xdr:to>
      <xdr:col>23</xdr:col>
      <xdr:colOff>643057</xdr:colOff>
      <xdr:row>53</xdr:row>
      <xdr:rowOff>25852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89646</xdr:colOff>
      <xdr:row>3</xdr:row>
      <xdr:rowOff>18489</xdr:rowOff>
    </xdr:from>
    <xdr:to>
      <xdr:col>22</xdr:col>
      <xdr:colOff>631852</xdr:colOff>
      <xdr:row>18</xdr:row>
      <xdr:rowOff>154019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89647</xdr:colOff>
      <xdr:row>3</xdr:row>
      <xdr:rowOff>0</xdr:rowOff>
    </xdr:from>
    <xdr:to>
      <xdr:col>11</xdr:col>
      <xdr:colOff>631853</xdr:colOff>
      <xdr:row>18</xdr:row>
      <xdr:rowOff>135530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89647</xdr:colOff>
      <xdr:row>20</xdr:row>
      <xdr:rowOff>11206</xdr:rowOff>
    </xdr:from>
    <xdr:to>
      <xdr:col>22</xdr:col>
      <xdr:colOff>631852</xdr:colOff>
      <xdr:row>35</xdr:row>
      <xdr:rowOff>146736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89647</xdr:colOff>
      <xdr:row>37</xdr:row>
      <xdr:rowOff>11207</xdr:rowOff>
    </xdr:from>
    <xdr:to>
      <xdr:col>11</xdr:col>
      <xdr:colOff>620646</xdr:colOff>
      <xdr:row>53</xdr:row>
      <xdr:rowOff>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89646</xdr:colOff>
      <xdr:row>37</xdr:row>
      <xdr:rowOff>0</xdr:rowOff>
    </xdr:from>
    <xdr:to>
      <xdr:col>22</xdr:col>
      <xdr:colOff>631851</xdr:colOff>
      <xdr:row>52</xdr:row>
      <xdr:rowOff>135530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100853</xdr:colOff>
      <xdr:row>20</xdr:row>
      <xdr:rowOff>11206</xdr:rowOff>
    </xdr:from>
    <xdr:to>
      <xdr:col>11</xdr:col>
      <xdr:colOff>643059</xdr:colOff>
      <xdr:row>35</xdr:row>
      <xdr:rowOff>146736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728384</xdr:colOff>
      <xdr:row>1</xdr:row>
      <xdr:rowOff>0</xdr:rowOff>
    </xdr:to>
    <xdr:sp macro="[0]!chamaratualizar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1927413" cy="25773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Atualização da Planilha - Rede</a:t>
          </a:r>
        </a:p>
      </xdr:txBody>
    </xdr:sp>
    <xdr:clientData/>
  </xdr:twoCellAnchor>
  <xdr:twoCellAnchor>
    <xdr:from>
      <xdr:col>2</xdr:col>
      <xdr:colOff>818029</xdr:colOff>
      <xdr:row>0</xdr:row>
      <xdr:rowOff>0</xdr:rowOff>
    </xdr:from>
    <xdr:to>
      <xdr:col>4</xdr:col>
      <xdr:colOff>179294</xdr:colOff>
      <xdr:row>1</xdr:row>
      <xdr:rowOff>0</xdr:rowOff>
    </xdr:to>
    <xdr:sp macro="[0]!ChamarLemebrete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017058" y="0"/>
          <a:ext cx="1288677" cy="25773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Lembrete</a:t>
          </a:r>
          <a:r>
            <a:rPr lang="pt-BR" sz="1100" baseline="0"/>
            <a:t> Semanal</a:t>
          </a:r>
          <a:endParaRPr lang="pt-BR" sz="1100"/>
        </a:p>
      </xdr:txBody>
    </xdr:sp>
    <xdr:clientData/>
  </xdr:twoCellAnchor>
  <xdr:twoCellAnchor>
    <xdr:from>
      <xdr:col>4</xdr:col>
      <xdr:colOff>268942</xdr:colOff>
      <xdr:row>0</xdr:row>
      <xdr:rowOff>0</xdr:rowOff>
    </xdr:from>
    <xdr:to>
      <xdr:col>7</xdr:col>
      <xdr:colOff>123265</xdr:colOff>
      <xdr:row>1</xdr:row>
      <xdr:rowOff>0</xdr:rowOff>
    </xdr:to>
    <xdr:sp macro="[0]!ReporteEquipes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5383" y="0"/>
          <a:ext cx="2252382" cy="25773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[RM] Controle</a:t>
          </a:r>
          <a:r>
            <a:rPr lang="pt-BR" sz="1100" baseline="0"/>
            <a:t> de </a:t>
          </a:r>
          <a:r>
            <a:rPr lang="pt-BR" sz="1100"/>
            <a:t>Tickets Pendentes</a:t>
          </a:r>
        </a:p>
      </xdr:txBody>
    </xdr:sp>
    <xdr:clientData/>
  </xdr:twoCellAnchor>
  <xdr:twoCellAnchor>
    <xdr:from>
      <xdr:col>7</xdr:col>
      <xdr:colOff>201706</xdr:colOff>
      <xdr:row>0</xdr:row>
      <xdr:rowOff>0</xdr:rowOff>
    </xdr:from>
    <xdr:to>
      <xdr:col>7</xdr:col>
      <xdr:colOff>1714500</xdr:colOff>
      <xdr:row>1</xdr:row>
      <xdr:rowOff>0</xdr:rowOff>
    </xdr:to>
    <xdr:sp macro="[0]!ReporteRM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726206" y="0"/>
          <a:ext cx="1512794" cy="25773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[RM] Relatório Interno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161926</xdr:colOff>
      <xdr:row>1</xdr:row>
      <xdr:rowOff>0</xdr:rowOff>
    </xdr:from>
    <xdr:to>
      <xdr:col>9</xdr:col>
      <xdr:colOff>542925</xdr:colOff>
      <xdr:row>11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sta1" displayName="Lista1" ref="A5:Q71" totalsRowShown="0" headerRowDxfId="41" dataDxfId="39" headerRowBorderDxfId="40" tableBorderDxfId="38">
  <autoFilter ref="A5:Q71" xr:uid="{00000000-0009-0000-0100-000001000000}"/>
  <sortState xmlns:xlrd2="http://schemas.microsoft.com/office/spreadsheetml/2017/richdata2" ref="A6:Q71">
    <sortCondition ref="C5:C71"/>
  </sortState>
  <tableColumns count="17">
    <tableColumn id="2" xr3:uid="{00000000-0010-0000-0000-000002000000}" name="Ticket" dataDxfId="37"/>
    <tableColumn id="3" xr3:uid="{00000000-0010-0000-0000-000003000000}" name="Jogo" dataDxfId="36"/>
    <tableColumn id="15" xr3:uid="{00000000-0010-0000-0000-00000F000000}" name="Data Criação" dataDxfId="35"/>
    <tableColumn id="6" xr3:uid="{00000000-0010-0000-0000-000006000000}" name="Data Recebida" dataDxfId="34"/>
    <tableColumn id="11" xr3:uid="{00000000-0010-0000-0000-00000B000000}" name="1ª Resp." dataDxfId="33"/>
    <tableColumn id="9" xr3:uid="{00000000-0010-0000-0000-000009000000}" name=" Data Resp." dataDxfId="32"/>
    <tableColumn id="4" xr3:uid="{00000000-0010-0000-0000-000004000000}" name="Categoria" dataDxfId="31"/>
    <tableColumn id="1" xr3:uid="{00000000-0010-0000-0000-000001000000}" name="Descrição" dataDxfId="30"/>
    <tableColumn id="14" xr3:uid="{00000000-0010-0000-0000-00000E000000}" name="Resposta" dataDxfId="29"/>
    <tableColumn id="17" xr3:uid="{00000000-0010-0000-0000-000011000000}" name="Status" dataDxfId="28"/>
    <tableColumn id="8" xr3:uid="{00000000-0010-0000-0000-000008000000}" name="PD TKT" dataDxfId="27">
      <calculatedColumnFormula>IF(C6&gt;0, IF((OR(J6="PD",J6="SR")),(TODAY()-C6),IF(OR(J6="OK",J6="RS"),"-", "")), "")</calculatedColumnFormula>
    </tableColumn>
    <tableColumn id="7" xr3:uid="{00000000-0010-0000-0000-000007000000}" name="PD PR" dataDxfId="26">
      <calculatedColumnFormula>IF(D6&gt;0,IF((OR(J6="PD",J6="SR")),(TODAY()-D6),IF(OR(J6="OK",J6="RS"),"-", "")), "")</calculatedColumnFormula>
    </tableColumn>
    <tableColumn id="5" xr3:uid="{00000000-0010-0000-0000-000005000000}" name="RS" dataDxfId="25">
      <calculatedColumnFormula>IF(D6&gt;0,IF(J6="RS",(TODAY()-D6),IF(J6="OK","-", "")), "")</calculatedColumnFormula>
    </tableColumn>
    <tableColumn id="10" xr3:uid="{00000000-0010-0000-0000-00000A000000}" name="Info Adicional" dataDxfId="24"/>
    <tableColumn id="12" xr3:uid="{00000000-0010-0000-0000-00000C000000}" name="1ª resp2" dataDxfId="23">
      <calculatedColumnFormula>IF(J6="SR",L6,IF(OR(E6="-",D6="-"),"-",IF((E6&gt;0),(E6-D6),"")))</calculatedColumnFormula>
    </tableColumn>
    <tableColumn id="13" xr3:uid="{00000000-0010-0000-0000-00000D000000}" name="Tempo Resposta" dataDxfId="22">
      <calculatedColumnFormula>IF(OR(J6="SR",J6="PD"),L6,IF(OR(F6="-",D6="-"),"-",IF((F6),(F6-D6),"")))</calculatedColumnFormula>
    </tableColumn>
    <tableColumn id="16" xr3:uid="{00000000-0010-0000-0000-000010000000}" name="Dia da semana" dataDxfId="21">
      <calculatedColumnFormula>IF(D6="-","-",IF(OR(WEEKDAY(D6)=6,WEEKDAY(D6)=7,WEEKDAY(D6)=1),WEEKDAY(D6),""))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://address/?ticketId=12401" TargetMode="External"/><Relationship Id="rId21" Type="http://schemas.openxmlformats.org/officeDocument/2006/relationships/hyperlink" Target="http://address/?ticketId=12396" TargetMode="External"/><Relationship Id="rId42" Type="http://schemas.openxmlformats.org/officeDocument/2006/relationships/hyperlink" Target="http://address/?ticketId=12417" TargetMode="External"/><Relationship Id="rId47" Type="http://schemas.openxmlformats.org/officeDocument/2006/relationships/hyperlink" Target="http://address/?ticketId=12422" TargetMode="External"/><Relationship Id="rId63" Type="http://schemas.openxmlformats.org/officeDocument/2006/relationships/hyperlink" Target="http://address/?ticketId=12438" TargetMode="External"/><Relationship Id="rId68" Type="http://schemas.openxmlformats.org/officeDocument/2006/relationships/drawing" Target="../drawings/drawing3.xml"/><Relationship Id="rId7" Type="http://schemas.openxmlformats.org/officeDocument/2006/relationships/hyperlink" Target="http://address/?ticketId=12382" TargetMode="External"/><Relationship Id="rId2" Type="http://schemas.openxmlformats.org/officeDocument/2006/relationships/hyperlink" Target="http://address/?ticketId=12377" TargetMode="External"/><Relationship Id="rId16" Type="http://schemas.openxmlformats.org/officeDocument/2006/relationships/hyperlink" Target="http://address/?ticketId=12391" TargetMode="External"/><Relationship Id="rId29" Type="http://schemas.openxmlformats.org/officeDocument/2006/relationships/hyperlink" Target="http://address/?ticketId=12404" TargetMode="External"/><Relationship Id="rId11" Type="http://schemas.openxmlformats.org/officeDocument/2006/relationships/hyperlink" Target="http://address/?ticketId=12386" TargetMode="External"/><Relationship Id="rId24" Type="http://schemas.openxmlformats.org/officeDocument/2006/relationships/hyperlink" Target="http://address/?ticketId=12399" TargetMode="External"/><Relationship Id="rId32" Type="http://schemas.openxmlformats.org/officeDocument/2006/relationships/hyperlink" Target="http://address/?ticketId=12407" TargetMode="External"/><Relationship Id="rId37" Type="http://schemas.openxmlformats.org/officeDocument/2006/relationships/hyperlink" Target="http://address/?ticketId=12412" TargetMode="External"/><Relationship Id="rId40" Type="http://schemas.openxmlformats.org/officeDocument/2006/relationships/hyperlink" Target="http://address/?ticketId=12415" TargetMode="External"/><Relationship Id="rId45" Type="http://schemas.openxmlformats.org/officeDocument/2006/relationships/hyperlink" Target="http://address/?ticketId=12420" TargetMode="External"/><Relationship Id="rId53" Type="http://schemas.openxmlformats.org/officeDocument/2006/relationships/hyperlink" Target="http://address/?ticketId=12428" TargetMode="External"/><Relationship Id="rId58" Type="http://schemas.openxmlformats.org/officeDocument/2006/relationships/hyperlink" Target="http://address/?ticketId=12433" TargetMode="External"/><Relationship Id="rId66" Type="http://schemas.openxmlformats.org/officeDocument/2006/relationships/hyperlink" Target="http://address/?ticketId=12441" TargetMode="External"/><Relationship Id="rId5" Type="http://schemas.openxmlformats.org/officeDocument/2006/relationships/hyperlink" Target="http://address/?ticketId=12380" TargetMode="External"/><Relationship Id="rId61" Type="http://schemas.openxmlformats.org/officeDocument/2006/relationships/hyperlink" Target="http://address/?ticketId=12436" TargetMode="External"/><Relationship Id="rId19" Type="http://schemas.openxmlformats.org/officeDocument/2006/relationships/hyperlink" Target="http://address/?ticketId=12394" TargetMode="External"/><Relationship Id="rId14" Type="http://schemas.openxmlformats.org/officeDocument/2006/relationships/hyperlink" Target="http://address/?ticketId=12389" TargetMode="External"/><Relationship Id="rId22" Type="http://schemas.openxmlformats.org/officeDocument/2006/relationships/hyperlink" Target="http://address/?ticketId=12397" TargetMode="External"/><Relationship Id="rId27" Type="http://schemas.openxmlformats.org/officeDocument/2006/relationships/hyperlink" Target="http://address/?ticketId=12402" TargetMode="External"/><Relationship Id="rId30" Type="http://schemas.openxmlformats.org/officeDocument/2006/relationships/hyperlink" Target="http://address/?ticketId=12405" TargetMode="External"/><Relationship Id="rId35" Type="http://schemas.openxmlformats.org/officeDocument/2006/relationships/hyperlink" Target="http://address/?ticketId=12410" TargetMode="External"/><Relationship Id="rId43" Type="http://schemas.openxmlformats.org/officeDocument/2006/relationships/hyperlink" Target="http://address/?ticketId=12418" TargetMode="External"/><Relationship Id="rId48" Type="http://schemas.openxmlformats.org/officeDocument/2006/relationships/hyperlink" Target="http://address/?ticketId=12423" TargetMode="External"/><Relationship Id="rId56" Type="http://schemas.openxmlformats.org/officeDocument/2006/relationships/hyperlink" Target="http://address/?ticketId=12431" TargetMode="External"/><Relationship Id="rId64" Type="http://schemas.openxmlformats.org/officeDocument/2006/relationships/hyperlink" Target="http://address/?ticketId=12439" TargetMode="External"/><Relationship Id="rId69" Type="http://schemas.openxmlformats.org/officeDocument/2006/relationships/table" Target="../tables/table1.xml"/><Relationship Id="rId8" Type="http://schemas.openxmlformats.org/officeDocument/2006/relationships/hyperlink" Target="http://address/?ticketId=12383" TargetMode="External"/><Relationship Id="rId51" Type="http://schemas.openxmlformats.org/officeDocument/2006/relationships/hyperlink" Target="http://address/?ticketId=12426" TargetMode="External"/><Relationship Id="rId3" Type="http://schemas.openxmlformats.org/officeDocument/2006/relationships/hyperlink" Target="http://address/?ticketId=12378" TargetMode="External"/><Relationship Id="rId12" Type="http://schemas.openxmlformats.org/officeDocument/2006/relationships/hyperlink" Target="http://address/?ticketId=12387" TargetMode="External"/><Relationship Id="rId17" Type="http://schemas.openxmlformats.org/officeDocument/2006/relationships/hyperlink" Target="http://address/?ticketId=12392" TargetMode="External"/><Relationship Id="rId25" Type="http://schemas.openxmlformats.org/officeDocument/2006/relationships/hyperlink" Target="http://address/?ticketId=12400" TargetMode="External"/><Relationship Id="rId33" Type="http://schemas.openxmlformats.org/officeDocument/2006/relationships/hyperlink" Target="http://address/?ticketId=12408" TargetMode="External"/><Relationship Id="rId38" Type="http://schemas.openxmlformats.org/officeDocument/2006/relationships/hyperlink" Target="http://address/?ticketId=12413" TargetMode="External"/><Relationship Id="rId46" Type="http://schemas.openxmlformats.org/officeDocument/2006/relationships/hyperlink" Target="http://address/?ticketId=12421" TargetMode="External"/><Relationship Id="rId59" Type="http://schemas.openxmlformats.org/officeDocument/2006/relationships/hyperlink" Target="http://address/?ticketId=12434" TargetMode="External"/><Relationship Id="rId67" Type="http://schemas.openxmlformats.org/officeDocument/2006/relationships/printerSettings" Target="../printerSettings/printerSettings3.bin"/><Relationship Id="rId20" Type="http://schemas.openxmlformats.org/officeDocument/2006/relationships/hyperlink" Target="http://address/?ticketId=12395" TargetMode="External"/><Relationship Id="rId41" Type="http://schemas.openxmlformats.org/officeDocument/2006/relationships/hyperlink" Target="http://address/?ticketId=12416" TargetMode="External"/><Relationship Id="rId54" Type="http://schemas.openxmlformats.org/officeDocument/2006/relationships/hyperlink" Target="http://address/?ticketId=12429" TargetMode="External"/><Relationship Id="rId62" Type="http://schemas.openxmlformats.org/officeDocument/2006/relationships/hyperlink" Target="http://address/?ticketId=12437" TargetMode="External"/><Relationship Id="rId1" Type="http://schemas.openxmlformats.org/officeDocument/2006/relationships/hyperlink" Target="http://address/?ticketId=12376" TargetMode="External"/><Relationship Id="rId6" Type="http://schemas.openxmlformats.org/officeDocument/2006/relationships/hyperlink" Target="http://address/?ticketId=12381" TargetMode="External"/><Relationship Id="rId15" Type="http://schemas.openxmlformats.org/officeDocument/2006/relationships/hyperlink" Target="http://address/?ticketId=12390" TargetMode="External"/><Relationship Id="rId23" Type="http://schemas.openxmlformats.org/officeDocument/2006/relationships/hyperlink" Target="http://address/?ticketId=12398" TargetMode="External"/><Relationship Id="rId28" Type="http://schemas.openxmlformats.org/officeDocument/2006/relationships/hyperlink" Target="http://address/?ticketId=12403" TargetMode="External"/><Relationship Id="rId36" Type="http://schemas.openxmlformats.org/officeDocument/2006/relationships/hyperlink" Target="http://address/?ticketId=12411" TargetMode="External"/><Relationship Id="rId49" Type="http://schemas.openxmlformats.org/officeDocument/2006/relationships/hyperlink" Target="http://address/?ticketId=12424" TargetMode="External"/><Relationship Id="rId57" Type="http://schemas.openxmlformats.org/officeDocument/2006/relationships/hyperlink" Target="http://address/?ticketId=12432" TargetMode="External"/><Relationship Id="rId10" Type="http://schemas.openxmlformats.org/officeDocument/2006/relationships/hyperlink" Target="http://address/?ticketId=12385" TargetMode="External"/><Relationship Id="rId31" Type="http://schemas.openxmlformats.org/officeDocument/2006/relationships/hyperlink" Target="http://address/?ticketId=12406" TargetMode="External"/><Relationship Id="rId44" Type="http://schemas.openxmlformats.org/officeDocument/2006/relationships/hyperlink" Target="http://address/?ticketId=12419" TargetMode="External"/><Relationship Id="rId52" Type="http://schemas.openxmlformats.org/officeDocument/2006/relationships/hyperlink" Target="http://address/?ticketId=12427" TargetMode="External"/><Relationship Id="rId60" Type="http://schemas.openxmlformats.org/officeDocument/2006/relationships/hyperlink" Target="http://address/?ticketId=12435" TargetMode="External"/><Relationship Id="rId65" Type="http://schemas.openxmlformats.org/officeDocument/2006/relationships/hyperlink" Target="http://address/?ticketId=12440" TargetMode="External"/><Relationship Id="rId4" Type="http://schemas.openxmlformats.org/officeDocument/2006/relationships/hyperlink" Target="http://address/?ticketId=12379" TargetMode="External"/><Relationship Id="rId9" Type="http://schemas.openxmlformats.org/officeDocument/2006/relationships/hyperlink" Target="http://address/?ticketId=12384" TargetMode="External"/><Relationship Id="rId13" Type="http://schemas.openxmlformats.org/officeDocument/2006/relationships/hyperlink" Target="http://address/?ticketId=12388" TargetMode="External"/><Relationship Id="rId18" Type="http://schemas.openxmlformats.org/officeDocument/2006/relationships/hyperlink" Target="http://address/?ticketId=12393" TargetMode="External"/><Relationship Id="rId39" Type="http://schemas.openxmlformats.org/officeDocument/2006/relationships/hyperlink" Target="http://address/?ticketId=12414" TargetMode="External"/><Relationship Id="rId34" Type="http://schemas.openxmlformats.org/officeDocument/2006/relationships/hyperlink" Target="http://address/?ticketId=12409" TargetMode="External"/><Relationship Id="rId50" Type="http://schemas.openxmlformats.org/officeDocument/2006/relationships/hyperlink" Target="http://address/?ticketId=12425" TargetMode="External"/><Relationship Id="rId55" Type="http://schemas.openxmlformats.org/officeDocument/2006/relationships/hyperlink" Target="http://address/?ticketId=12430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A1:AQ54"/>
  <sheetViews>
    <sheetView topLeftCell="A16" zoomScale="85" zoomScaleNormal="85" workbookViewId="0">
      <selection activeCell="E32" sqref="E32:F32"/>
    </sheetView>
  </sheetViews>
  <sheetFormatPr defaultColWidth="9.109375" defaultRowHeight="13.2"/>
  <cols>
    <col min="1" max="1" width="1.6640625" style="2" customWidth="1"/>
    <col min="2" max="2" width="11.6640625" style="2" customWidth="1"/>
    <col min="3" max="4" width="10.33203125" style="2" customWidth="1"/>
    <col min="5" max="5" width="11.5546875" style="2" customWidth="1"/>
    <col min="6" max="12" width="10.33203125" style="2" customWidth="1"/>
    <col min="13" max="13" width="0.88671875" style="2" customWidth="1"/>
    <col min="14" max="14" width="11.88671875" style="2" customWidth="1"/>
    <col min="15" max="16" width="10.33203125" style="2" customWidth="1"/>
    <col min="17" max="17" width="11.44140625" style="2" customWidth="1"/>
    <col min="18" max="23" width="10.33203125" style="2" customWidth="1"/>
    <col min="24" max="24" width="10.109375" style="22" customWidth="1"/>
    <col min="25" max="25" width="9.6640625" style="2" customWidth="1"/>
    <col min="26" max="16384" width="9.109375" style="2"/>
  </cols>
  <sheetData>
    <row r="1" spans="1:24" ht="2.25" customHeight="1"/>
    <row r="2" spans="1:24" ht="18" customHeight="1">
      <c r="A2" s="194" t="s">
        <v>28</v>
      </c>
      <c r="B2" s="195"/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 t="str">
        <f>CONCATENATE("Total Recebido: ",COUNTIFS('Tickets Recebidos'!$C:$C,"&gt;="&amp;0))</f>
        <v>Total Recebido: 66</v>
      </c>
      <c r="X2" s="214"/>
    </row>
    <row r="3" spans="1:24" ht="6.75" customHeight="1">
      <c r="B3" s="15"/>
      <c r="X3" s="36"/>
    </row>
    <row r="4" spans="1:24" ht="18" customHeight="1">
      <c r="B4" s="196" t="s">
        <v>45</v>
      </c>
      <c r="C4" s="197"/>
      <c r="D4" s="197"/>
      <c r="E4" s="197"/>
      <c r="F4" s="198"/>
      <c r="G4" s="15"/>
      <c r="H4" s="15"/>
      <c r="I4" s="15"/>
      <c r="J4" s="15"/>
      <c r="K4" s="15"/>
      <c r="L4" s="15"/>
      <c r="N4" s="196" t="s">
        <v>44</v>
      </c>
      <c r="O4" s="197"/>
      <c r="P4" s="197"/>
      <c r="Q4" s="197"/>
      <c r="R4" s="198"/>
    </row>
    <row r="5" spans="1:24">
      <c r="B5" s="6" t="s">
        <v>0</v>
      </c>
      <c r="C5" s="3" t="s">
        <v>15</v>
      </c>
      <c r="D5" s="3" t="s">
        <v>16</v>
      </c>
      <c r="E5" s="4" t="s">
        <v>17</v>
      </c>
      <c r="F5" s="3" t="s">
        <v>2</v>
      </c>
      <c r="G5" s="15"/>
      <c r="H5" s="15"/>
      <c r="I5" s="15"/>
      <c r="J5" s="15"/>
      <c r="K5" s="15"/>
      <c r="L5" s="15"/>
      <c r="N5" s="6" t="s">
        <v>0</v>
      </c>
      <c r="O5" s="3" t="s">
        <v>15</v>
      </c>
      <c r="P5" s="3" t="s">
        <v>16</v>
      </c>
      <c r="Q5" s="4" t="s">
        <v>17</v>
      </c>
      <c r="R5" s="3" t="s">
        <v>2</v>
      </c>
    </row>
    <row r="6" spans="1:24">
      <c r="B6" s="38" t="s">
        <v>86</v>
      </c>
      <c r="C6" s="39">
        <f ca="1">COUNTIFS('Tickets Recebidos'!K:K,"&lt;=7",'Tickets Recebidos'!B:B,"="&amp;B6)</f>
        <v>1</v>
      </c>
      <c r="D6" s="39">
        <f ca="1">COUNTIFS('Tickets Recebidos'!K:K,"&lt;=14",'Tickets Recebidos'!K:K,"&gt;=8",'Tickets Recebidos'!B:B,"="&amp;B6)</f>
        <v>0</v>
      </c>
      <c r="E6" s="40">
        <f ca="1">COUNTIFS('Tickets Recebidos'!K:K,"&gt;=15",'Tickets Recebidos'!B:B,"="&amp;B6)</f>
        <v>1</v>
      </c>
      <c r="F6" s="41">
        <f ca="1">SUM(C6:E6)</f>
        <v>2</v>
      </c>
      <c r="G6" s="15"/>
      <c r="H6" s="15"/>
      <c r="I6" s="15"/>
      <c r="J6" s="15"/>
      <c r="K6" s="15"/>
      <c r="L6" s="15"/>
      <c r="N6" s="38" t="str">
        <f>B6</f>
        <v>EX7</v>
      </c>
      <c r="O6" s="39">
        <f ca="1">COUNTIFS('Tickets Recebidos'!L:L,"&lt;=7",'Tickets Recebidos'!B:B,"="&amp;N6)</f>
        <v>1</v>
      </c>
      <c r="P6" s="39">
        <f ca="1">COUNTIFS('Tickets Recebidos'!L:L,"&lt;=14",'Tickets Recebidos'!L:L,"&gt;=8",'Tickets Recebidos'!B:B,"="&amp;N6)</f>
        <v>0</v>
      </c>
      <c r="Q6" s="47">
        <f ca="1">COUNTIFS('Tickets Recebidos'!L:L,"&gt;=15",'Tickets Recebidos'!B:B,"="&amp;N6)</f>
        <v>1</v>
      </c>
      <c r="R6" s="41">
        <f ca="1">SUM(O6:Q6)</f>
        <v>2</v>
      </c>
    </row>
    <row r="7" spans="1:24">
      <c r="B7" s="27" t="s">
        <v>80</v>
      </c>
      <c r="C7" s="5">
        <f ca="1">COUNTIFS('Tickets Recebidos'!K:K,"&lt;=7",'Tickets Recebidos'!B:B,"="&amp;B7)</f>
        <v>0</v>
      </c>
      <c r="D7" s="5">
        <f ca="1">COUNTIFS('Tickets Recebidos'!K:K,"&lt;=14",'Tickets Recebidos'!K:K,"&gt;=8",'Tickets Recebidos'!B:B,"="&amp;B7)</f>
        <v>0</v>
      </c>
      <c r="E7" s="14">
        <f ca="1">COUNTIFS('Tickets Recebidos'!K:K,"&gt;=15",'Tickets Recebidos'!B:B,"="&amp;B7)</f>
        <v>5</v>
      </c>
      <c r="F7" s="5">
        <f t="shared" ref="F7:F19" ca="1" si="0">SUM(C7:E7)</f>
        <v>5</v>
      </c>
      <c r="G7" s="15"/>
      <c r="H7" s="15"/>
      <c r="I7" s="15"/>
      <c r="J7" s="15"/>
      <c r="K7" s="15"/>
      <c r="L7" s="15"/>
      <c r="N7" s="27" t="str">
        <f t="shared" ref="N7:N19" si="1">B7</f>
        <v>EX1</v>
      </c>
      <c r="O7" s="5">
        <f ca="1">COUNTIFS('Tickets Recebidos'!L:L,"&lt;=7",'Tickets Recebidos'!B:B,"="&amp;N7)</f>
        <v>0</v>
      </c>
      <c r="P7" s="5">
        <f ca="1">COUNTIFS('Tickets Recebidos'!L:L,"&lt;=14",'Tickets Recebidos'!L:L,"&gt;=8",'Tickets Recebidos'!B:B,"="&amp;N7)</f>
        <v>0</v>
      </c>
      <c r="Q7" s="14">
        <f ca="1">COUNTIFS('Tickets Recebidos'!L:L,"&gt;=15",'Tickets Recebidos'!B:B,"="&amp;N7)</f>
        <v>5</v>
      </c>
      <c r="R7" s="5">
        <f t="shared" ref="R7:R14" ca="1" si="2">SUM(O7:Q7)</f>
        <v>5</v>
      </c>
    </row>
    <row r="8" spans="1:24">
      <c r="B8" s="38" t="s">
        <v>83</v>
      </c>
      <c r="C8" s="39">
        <f ca="1">COUNTIFS('Tickets Recebidos'!K:K,"&lt;=7",'Tickets Recebidos'!B:B,"="&amp;B8)</f>
        <v>0</v>
      </c>
      <c r="D8" s="39">
        <f ca="1">COUNTIFS('Tickets Recebidos'!K:K,"&lt;=14",'Tickets Recebidos'!K:K,"&gt;=8",'Tickets Recebidos'!B:B,"="&amp;B8)</f>
        <v>0</v>
      </c>
      <c r="E8" s="40">
        <f ca="1">COUNTIFS('Tickets Recebidos'!K:K,"&gt;=15",'Tickets Recebidos'!B:B,"="&amp;B8)</f>
        <v>3</v>
      </c>
      <c r="F8" s="39">
        <f t="shared" ca="1" si="0"/>
        <v>3</v>
      </c>
      <c r="G8" s="15"/>
      <c r="H8" s="15"/>
      <c r="I8" s="15"/>
      <c r="J8" s="15"/>
      <c r="K8" s="15"/>
      <c r="L8" s="15"/>
      <c r="N8" s="38" t="str">
        <f t="shared" si="1"/>
        <v>EX4</v>
      </c>
      <c r="O8" s="39">
        <f ca="1">COUNTIFS('Tickets Recebidos'!L:L,"&lt;=7",'Tickets Recebidos'!B:B,"="&amp;N8)</f>
        <v>0</v>
      </c>
      <c r="P8" s="39">
        <f ca="1">COUNTIFS('Tickets Recebidos'!L:L,"&lt;=14",'Tickets Recebidos'!L:L,"&gt;=8",'Tickets Recebidos'!B:B,"="&amp;N8)</f>
        <v>0</v>
      </c>
      <c r="Q8" s="40">
        <f ca="1">COUNTIFS('Tickets Recebidos'!L:L,"&gt;=15",'Tickets Recebidos'!B:B,"="&amp;N8)</f>
        <v>3</v>
      </c>
      <c r="R8" s="39">
        <f t="shared" ca="1" si="2"/>
        <v>3</v>
      </c>
    </row>
    <row r="9" spans="1:24">
      <c r="B9" s="27" t="s">
        <v>85</v>
      </c>
      <c r="C9" s="5">
        <f ca="1">COUNTIFS('Tickets Recebidos'!K:K,"&lt;=7",'Tickets Recebidos'!B:B,"="&amp;B9)</f>
        <v>1</v>
      </c>
      <c r="D9" s="5">
        <f ca="1">COUNTIFS('Tickets Recebidos'!K:K,"&lt;=14",'Tickets Recebidos'!K:K,"&gt;=8",'Tickets Recebidos'!B:B,"="&amp;B9)</f>
        <v>0</v>
      </c>
      <c r="E9" s="14">
        <f ca="1">COUNTIFS('Tickets Recebidos'!K:K,"&gt;=15",'Tickets Recebidos'!B:B,"="&amp;B9)</f>
        <v>1</v>
      </c>
      <c r="F9" s="5">
        <f t="shared" ca="1" si="0"/>
        <v>2</v>
      </c>
      <c r="G9" s="15"/>
      <c r="H9" s="15"/>
      <c r="I9" s="15"/>
      <c r="J9" s="15"/>
      <c r="K9" s="15"/>
      <c r="L9" s="15"/>
      <c r="N9" s="27" t="str">
        <f t="shared" si="1"/>
        <v>EX6</v>
      </c>
      <c r="O9" s="5">
        <f ca="1">COUNTIFS('Tickets Recebidos'!L:L,"&lt;=7",'Tickets Recebidos'!B:B,"="&amp;N9)</f>
        <v>1</v>
      </c>
      <c r="P9" s="5">
        <f ca="1">COUNTIFS('Tickets Recebidos'!L:L,"&lt;=14",'Tickets Recebidos'!L:L,"&gt;=8",'Tickets Recebidos'!B:B,"="&amp;N9)</f>
        <v>0</v>
      </c>
      <c r="Q9" s="14">
        <f ca="1">COUNTIFS('Tickets Recebidos'!L:L,"&gt;=15",'Tickets Recebidos'!B:B,"="&amp;N9)</f>
        <v>1</v>
      </c>
      <c r="R9" s="5">
        <f t="shared" ca="1" si="2"/>
        <v>2</v>
      </c>
    </row>
    <row r="10" spans="1:24">
      <c r="B10" s="38" t="s">
        <v>81</v>
      </c>
      <c r="C10" s="39">
        <f ca="1">COUNTIFS('Tickets Recebidos'!K:K,"&lt;=7",'Tickets Recebidos'!B:B,"="&amp;B10)</f>
        <v>0</v>
      </c>
      <c r="D10" s="39">
        <f ca="1">COUNTIFS('Tickets Recebidos'!K:K,"&lt;=14",'Tickets Recebidos'!K:K,"&gt;=8",'Tickets Recebidos'!B:B,"="&amp;B10)</f>
        <v>0</v>
      </c>
      <c r="E10" s="40">
        <f ca="1">COUNTIFS('Tickets Recebidos'!K:K,"&gt;=15",'Tickets Recebidos'!B:B,"="&amp;B10)</f>
        <v>1</v>
      </c>
      <c r="F10" s="39">
        <f t="shared" ca="1" si="0"/>
        <v>1</v>
      </c>
      <c r="G10" s="15"/>
      <c r="H10" s="15"/>
      <c r="I10" s="15"/>
      <c r="J10" s="15"/>
      <c r="K10" s="15"/>
      <c r="L10" s="15"/>
      <c r="N10" s="38" t="str">
        <f t="shared" si="1"/>
        <v>EX2</v>
      </c>
      <c r="O10" s="39">
        <f ca="1">COUNTIFS('Tickets Recebidos'!L:L,"&lt;=7",'Tickets Recebidos'!B:B,"="&amp;N10)</f>
        <v>0</v>
      </c>
      <c r="P10" s="39">
        <f ca="1">COUNTIFS('Tickets Recebidos'!L:L,"&lt;=14",'Tickets Recebidos'!L:L,"&gt;=8",'Tickets Recebidos'!B:B,"="&amp;N10)</f>
        <v>0</v>
      </c>
      <c r="Q10" s="40">
        <f ca="1">COUNTIFS('Tickets Recebidos'!L:L,"&gt;=15",'Tickets Recebidos'!B:B,"="&amp;N10)</f>
        <v>1</v>
      </c>
      <c r="R10" s="39">
        <f t="shared" ca="1" si="2"/>
        <v>1</v>
      </c>
    </row>
    <row r="11" spans="1:24">
      <c r="B11" s="27" t="s">
        <v>82</v>
      </c>
      <c r="C11" s="5">
        <f ca="1">COUNTIFS('Tickets Recebidos'!K:K,"&lt;=7",'Tickets Recebidos'!B:B,"="&amp;B11)</f>
        <v>0</v>
      </c>
      <c r="D11" s="5">
        <f ca="1">COUNTIFS('Tickets Recebidos'!K:K,"&lt;=14",'Tickets Recebidos'!K:K,"&gt;=8",'Tickets Recebidos'!B:B,"="&amp;B11)</f>
        <v>0</v>
      </c>
      <c r="E11" s="14">
        <f ca="1">COUNTIFS('Tickets Recebidos'!K:K,"&gt;=15",'Tickets Recebidos'!B:B,"="&amp;B11)</f>
        <v>5</v>
      </c>
      <c r="F11" s="5">
        <f t="shared" ca="1" si="0"/>
        <v>5</v>
      </c>
      <c r="G11" s="15"/>
      <c r="H11" s="15"/>
      <c r="I11" s="15"/>
      <c r="J11" s="15"/>
      <c r="K11" s="15"/>
      <c r="L11" s="15"/>
      <c r="N11" s="27" t="str">
        <f t="shared" si="1"/>
        <v>EX3</v>
      </c>
      <c r="O11" s="5">
        <f ca="1">COUNTIFS('Tickets Recebidos'!L:L,"&lt;=7",'Tickets Recebidos'!B:B,"="&amp;N11)</f>
        <v>0</v>
      </c>
      <c r="P11" s="5">
        <f ca="1">COUNTIFS('Tickets Recebidos'!L:L,"&lt;=14",'Tickets Recebidos'!L:L,"&gt;=8",'Tickets Recebidos'!B:B,"="&amp;N11)</f>
        <v>0</v>
      </c>
      <c r="Q11" s="14">
        <f ca="1">COUNTIFS('Tickets Recebidos'!L:L,"&gt;=15",'Tickets Recebidos'!B:B,"="&amp;N11)</f>
        <v>5</v>
      </c>
      <c r="R11" s="5">
        <f t="shared" ca="1" si="2"/>
        <v>5</v>
      </c>
    </row>
    <row r="12" spans="1:24">
      <c r="B12" s="38" t="s">
        <v>84</v>
      </c>
      <c r="C12" s="39">
        <f ca="1">COUNTIFS('Tickets Recebidos'!K:K,"&lt;=7",'Tickets Recebidos'!B:B,"="&amp;B12)</f>
        <v>0</v>
      </c>
      <c r="D12" s="39">
        <f ca="1">COUNTIFS('Tickets Recebidos'!K:K,"&lt;=14",'Tickets Recebidos'!K:K,"&gt;=8",'Tickets Recebidos'!B:B,"="&amp;B12)</f>
        <v>0</v>
      </c>
      <c r="E12" s="40">
        <f ca="1">COUNTIFS('Tickets Recebidos'!K:K,"&gt;=15",'Tickets Recebidos'!B:B,"="&amp;B12)</f>
        <v>3</v>
      </c>
      <c r="F12" s="39">
        <f t="shared" ca="1" si="0"/>
        <v>3</v>
      </c>
      <c r="G12" s="15"/>
      <c r="H12" s="15"/>
      <c r="I12" s="15"/>
      <c r="J12" s="15"/>
      <c r="K12" s="15"/>
      <c r="L12" s="15"/>
      <c r="N12" s="38" t="str">
        <f t="shared" si="1"/>
        <v>EX5</v>
      </c>
      <c r="O12" s="39">
        <f ca="1">COUNTIFS('Tickets Recebidos'!L:L,"&lt;=7",'Tickets Recebidos'!B:B,"="&amp;N12)</f>
        <v>0</v>
      </c>
      <c r="P12" s="39">
        <f ca="1">COUNTIFS('Tickets Recebidos'!L:L,"&lt;=14",'Tickets Recebidos'!L:L,"&gt;=8",'Tickets Recebidos'!B:B,"="&amp;N12)</f>
        <v>0</v>
      </c>
      <c r="Q12" s="40">
        <f ca="1">COUNTIFS('Tickets Recebidos'!L:L,"&gt;=15",'Tickets Recebidos'!B:B,"="&amp;N12)</f>
        <v>3</v>
      </c>
      <c r="R12" s="39">
        <f t="shared" ca="1" si="2"/>
        <v>3</v>
      </c>
    </row>
    <row r="13" spans="1:24">
      <c r="B13" s="27" t="s">
        <v>87</v>
      </c>
      <c r="C13" s="5">
        <f ca="1">COUNTIFS('Tickets Recebidos'!K:K,"&lt;=7",'Tickets Recebidos'!B:B,"="&amp;B13)</f>
        <v>0</v>
      </c>
      <c r="D13" s="5">
        <f ca="1">COUNTIFS('Tickets Recebidos'!K:K,"&lt;=14",'Tickets Recebidos'!K:K,"&gt;=8",'Tickets Recebidos'!B:B,"="&amp;B13)</f>
        <v>0</v>
      </c>
      <c r="E13" s="14">
        <f ca="1">COUNTIFS('Tickets Recebidos'!K:K,"&gt;=15",'Tickets Recebidos'!B:B,"="&amp;B13)</f>
        <v>0</v>
      </c>
      <c r="F13" s="5">
        <f t="shared" ca="1" si="0"/>
        <v>0</v>
      </c>
      <c r="G13" s="15"/>
      <c r="H13" s="15"/>
      <c r="I13" s="15"/>
      <c r="J13" s="15"/>
      <c r="K13" s="15"/>
      <c r="L13" s="15"/>
      <c r="N13" s="27" t="str">
        <f t="shared" si="1"/>
        <v>EX8</v>
      </c>
      <c r="O13" s="5">
        <f ca="1">COUNTIFS('Tickets Recebidos'!L:L,"&lt;=7",'Tickets Recebidos'!B:B,"="&amp;N13)</f>
        <v>0</v>
      </c>
      <c r="P13" s="5">
        <f ca="1">COUNTIFS('Tickets Recebidos'!L:L,"&lt;=14",'Tickets Recebidos'!L:L,"&gt;=8",'Tickets Recebidos'!B:B,"="&amp;N13)</f>
        <v>0</v>
      </c>
      <c r="Q13" s="14">
        <f ca="1">COUNTIFS('Tickets Recebidos'!L:L,"&gt;=15",'Tickets Recebidos'!B:B,"="&amp;N13)</f>
        <v>0</v>
      </c>
      <c r="R13" s="5">
        <f t="shared" ca="1" si="2"/>
        <v>0</v>
      </c>
    </row>
    <row r="14" spans="1:24">
      <c r="B14" s="38" t="s">
        <v>8</v>
      </c>
      <c r="C14" s="39">
        <f ca="1">COUNTIFS('Tickets Recebidos'!K:K,"&lt;=7",'Tickets Recebidos'!B:B,"="&amp;B14)</f>
        <v>0</v>
      </c>
      <c r="D14" s="39">
        <f ca="1">COUNTIFS('Tickets Recebidos'!K:K,"&lt;=14",'Tickets Recebidos'!K:K,"&gt;=8",'Tickets Recebidos'!B:B,"="&amp;B14)</f>
        <v>0</v>
      </c>
      <c r="E14" s="40">
        <f ca="1">COUNTIFS('Tickets Recebidos'!K:K,"&gt;=15",'Tickets Recebidos'!B:B,"="&amp;B14)</f>
        <v>0</v>
      </c>
      <c r="F14" s="39">
        <f t="shared" ca="1" si="0"/>
        <v>0</v>
      </c>
      <c r="G14" s="15"/>
      <c r="H14" s="15"/>
      <c r="I14" s="15"/>
      <c r="J14" s="15"/>
      <c r="K14" s="15"/>
      <c r="L14" s="15"/>
      <c r="N14" s="38" t="s">
        <v>8</v>
      </c>
      <c r="O14" s="39">
        <f ca="1">COUNTIFS('Tickets Recebidos'!L:L,"&lt;=7",'Tickets Recebidos'!B:B,"="&amp;N14)</f>
        <v>0</v>
      </c>
      <c r="P14" s="39">
        <f ca="1">COUNTIFS('Tickets Recebidos'!L:L,"&lt;=14",'Tickets Recebidos'!L:L,"&gt;=8",'Tickets Recebidos'!B:B,"="&amp;N14)</f>
        <v>0</v>
      </c>
      <c r="Q14" s="40">
        <f ca="1">COUNTIFS('Tickets Recebidos'!L:L,"&gt;=15",'Tickets Recebidos'!B:B,"="&amp;N14)</f>
        <v>0</v>
      </c>
      <c r="R14" s="39">
        <f t="shared" ca="1" si="2"/>
        <v>0</v>
      </c>
    </row>
    <row r="15" spans="1:24">
      <c r="B15" s="27" t="s">
        <v>8</v>
      </c>
      <c r="C15" s="5" t="s">
        <v>8</v>
      </c>
      <c r="D15" s="5" t="s">
        <v>8</v>
      </c>
      <c r="E15" s="5" t="s">
        <v>8</v>
      </c>
      <c r="F15" s="5" t="s">
        <v>8</v>
      </c>
      <c r="G15" s="15"/>
      <c r="H15" s="15"/>
      <c r="I15" s="15"/>
      <c r="J15" s="15"/>
      <c r="K15" s="15"/>
      <c r="L15" s="15"/>
      <c r="N15" s="27" t="str">
        <f t="shared" si="1"/>
        <v>-</v>
      </c>
      <c r="O15" s="5" t="s">
        <v>8</v>
      </c>
      <c r="P15" s="5" t="s">
        <v>8</v>
      </c>
      <c r="Q15" s="5" t="s">
        <v>8</v>
      </c>
      <c r="R15" s="5" t="s">
        <v>8</v>
      </c>
    </row>
    <row r="16" spans="1:24">
      <c r="B16" s="38" t="s">
        <v>8</v>
      </c>
      <c r="C16" s="39" t="s">
        <v>8</v>
      </c>
      <c r="D16" s="39" t="s">
        <v>8</v>
      </c>
      <c r="E16" s="40" t="s">
        <v>8</v>
      </c>
      <c r="F16" s="39" t="s">
        <v>8</v>
      </c>
      <c r="G16" s="15"/>
      <c r="H16" s="15"/>
      <c r="I16" s="15"/>
      <c r="J16" s="15"/>
      <c r="K16" s="15"/>
      <c r="L16" s="15"/>
      <c r="N16" s="38" t="str">
        <f t="shared" si="1"/>
        <v>-</v>
      </c>
      <c r="O16" s="39" t="s">
        <v>8</v>
      </c>
      <c r="P16" s="39" t="s">
        <v>8</v>
      </c>
      <c r="Q16" s="40" t="s">
        <v>8</v>
      </c>
      <c r="R16" s="39" t="s">
        <v>8</v>
      </c>
    </row>
    <row r="17" spans="2:24">
      <c r="B17" s="27" t="s">
        <v>8</v>
      </c>
      <c r="C17" s="5" t="s">
        <v>8</v>
      </c>
      <c r="D17" s="5" t="s">
        <v>8</v>
      </c>
      <c r="E17" s="14" t="s">
        <v>8</v>
      </c>
      <c r="F17" s="5" t="s">
        <v>8</v>
      </c>
      <c r="G17" s="15"/>
      <c r="H17" s="15"/>
      <c r="I17" s="15"/>
      <c r="J17" s="15"/>
      <c r="K17" s="15"/>
      <c r="L17" s="15"/>
      <c r="N17" s="27" t="str">
        <f t="shared" si="1"/>
        <v>-</v>
      </c>
      <c r="O17" s="5" t="s">
        <v>8</v>
      </c>
      <c r="P17" s="5" t="s">
        <v>8</v>
      </c>
      <c r="Q17" s="14" t="s">
        <v>8</v>
      </c>
      <c r="R17" s="5" t="s">
        <v>8</v>
      </c>
    </row>
    <row r="18" spans="2:24">
      <c r="B18" s="38" t="s">
        <v>8</v>
      </c>
      <c r="C18" s="39" t="s">
        <v>8</v>
      </c>
      <c r="D18" s="39" t="s">
        <v>8</v>
      </c>
      <c r="E18" s="40" t="s">
        <v>8</v>
      </c>
      <c r="F18" s="39" t="s">
        <v>8</v>
      </c>
      <c r="G18" s="15"/>
      <c r="H18" s="15"/>
      <c r="I18" s="15"/>
      <c r="J18" s="15"/>
      <c r="K18" s="15"/>
      <c r="L18" s="15"/>
      <c r="N18" s="38" t="str">
        <f t="shared" si="1"/>
        <v>-</v>
      </c>
      <c r="O18" s="39" t="s">
        <v>8</v>
      </c>
      <c r="P18" s="39" t="s">
        <v>8</v>
      </c>
      <c r="Q18" s="40" t="s">
        <v>8</v>
      </c>
      <c r="R18" s="39" t="s">
        <v>8</v>
      </c>
    </row>
    <row r="19" spans="2:24">
      <c r="B19" s="28" t="s">
        <v>2</v>
      </c>
      <c r="C19" s="29">
        <f ca="1">COUNTIFS('Tickets Recebidos'!K:K,"&lt;=7")</f>
        <v>2</v>
      </c>
      <c r="D19" s="29">
        <f ca="1">COUNTIFS('Tickets Recebidos'!K:K,"&lt;=14",'Tickets Recebidos'!K:K,"&gt;=8")</f>
        <v>0</v>
      </c>
      <c r="E19" s="87">
        <f ca="1">COUNTIFS('Tickets Recebidos'!K:K,"&gt;=15")</f>
        <v>19</v>
      </c>
      <c r="F19" s="29">
        <f t="shared" ca="1" si="0"/>
        <v>21</v>
      </c>
      <c r="G19" s="15"/>
      <c r="H19" s="15"/>
      <c r="I19" s="15"/>
      <c r="J19" s="15"/>
      <c r="K19" s="15"/>
      <c r="L19" s="15"/>
      <c r="N19" s="28" t="str">
        <f t="shared" si="1"/>
        <v>Total</v>
      </c>
      <c r="O19" s="29">
        <f ca="1">COUNTIFS('Tickets Recebidos'!L:L,"&lt;=7")</f>
        <v>2</v>
      </c>
      <c r="P19" s="29">
        <f ca="1">COUNTIFS('Tickets Recebidos'!L:L,"&lt;=14",'Tickets Recebidos'!L:L,"&gt;=8")</f>
        <v>0</v>
      </c>
      <c r="Q19" s="87">
        <f ca="1">COUNTIFS('Tickets Recebidos'!L:L,"&gt;=15")</f>
        <v>19</v>
      </c>
      <c r="R19" s="29">
        <f ca="1">SUM(R6:R18)</f>
        <v>21</v>
      </c>
    </row>
    <row r="20" spans="2:24" ht="6.75" customHeight="1">
      <c r="X20" s="23"/>
    </row>
    <row r="21" spans="2:24" ht="17.25" customHeight="1">
      <c r="B21" s="194" t="s">
        <v>50</v>
      </c>
      <c r="C21" s="195"/>
      <c r="D21" s="195"/>
      <c r="E21" s="195"/>
      <c r="F21" s="214"/>
      <c r="N21" s="196" t="s">
        <v>57</v>
      </c>
      <c r="O21" s="197"/>
      <c r="P21" s="197"/>
      <c r="Q21" s="197"/>
      <c r="R21" s="198"/>
      <c r="S21" s="1"/>
      <c r="T21" s="1"/>
      <c r="U21" s="1"/>
      <c r="V21" s="1"/>
      <c r="W21" s="1"/>
      <c r="X21" s="23"/>
    </row>
    <row r="22" spans="2:24" ht="12" customHeight="1">
      <c r="B22" s="88" t="s">
        <v>0</v>
      </c>
      <c r="C22" s="231" t="s">
        <v>49</v>
      </c>
      <c r="D22" s="232"/>
      <c r="E22" s="231" t="s">
        <v>48</v>
      </c>
      <c r="F22" s="235"/>
      <c r="H22" s="15"/>
      <c r="N22" s="86" t="s">
        <v>0</v>
      </c>
      <c r="O22" s="21" t="s">
        <v>21</v>
      </c>
      <c r="P22" s="82" t="str">
        <f ca="1">CONCATENATE("Receb. ",TEXT(TODAY(),"mmm"))</f>
        <v>Receb. Nov</v>
      </c>
      <c r="Q22" s="21" t="s">
        <v>56</v>
      </c>
      <c r="R22" s="21" t="s">
        <v>55</v>
      </c>
      <c r="S22" s="13"/>
      <c r="T22" s="1"/>
      <c r="U22" s="1"/>
      <c r="V22" s="1"/>
      <c r="W22" s="13"/>
      <c r="X22" s="23"/>
    </row>
    <row r="23" spans="2:24" ht="12" customHeight="1">
      <c r="B23" s="42" t="str">
        <f t="shared" ref="B23:B35" si="3">B6</f>
        <v>EX7</v>
      </c>
      <c r="C23" s="230">
        <v>2</v>
      </c>
      <c r="D23" s="254"/>
      <c r="E23" s="233">
        <v>2</v>
      </c>
      <c r="F23" s="234"/>
      <c r="N23" s="73" t="str">
        <f>B6</f>
        <v>EX7</v>
      </c>
      <c r="O23" s="37">
        <f>COUNTIFS('Tickets Recebidos'!B:B,"="&amp;N23)</f>
        <v>3</v>
      </c>
      <c r="P23" s="45">
        <f ca="1">COUNTIFS('Tickets Recebidos'!$D:$D,"&gt;="&amp;$R$39,'Tickets Recebidos'!$D:$D,"&lt;"&amp;EDATE($R$39,1),'Tickets Recebidos'!$B:$B,"="&amp;N40)</f>
        <v>0</v>
      </c>
      <c r="Q23" s="52">
        <f ca="1">COUNTIFS('Tickets Recebidos'!L:L,"&gt;=0",'Tickets Recebidos'!B:B,"="&amp;N23)</f>
        <v>2</v>
      </c>
      <c r="R23" s="52">
        <f>COUNTIFS('Tickets Recebidos'!J:J,"=RS",'Tickets Recebidos'!B:B,"="&amp;N23)</f>
        <v>0</v>
      </c>
      <c r="S23" s="81"/>
      <c r="T23" s="77"/>
      <c r="U23" s="1"/>
      <c r="V23" s="1"/>
      <c r="W23" s="13"/>
      <c r="X23" s="23"/>
    </row>
    <row r="24" spans="2:24" ht="12" customHeight="1">
      <c r="B24" s="30" t="str">
        <f t="shared" si="3"/>
        <v>EX1</v>
      </c>
      <c r="C24" s="217">
        <v>0</v>
      </c>
      <c r="D24" s="218"/>
      <c r="E24" s="236">
        <v>3</v>
      </c>
      <c r="F24" s="237"/>
      <c r="N24" s="72" t="str">
        <f t="shared" ref="N24:N36" si="4">B7</f>
        <v>EX1</v>
      </c>
      <c r="O24" s="20">
        <f>COUNTIFS('Tickets Recebidos'!B:B,"="&amp;N24)</f>
        <v>16</v>
      </c>
      <c r="P24" s="20">
        <f ca="1">COUNTIFS('Tickets Recebidos'!$D:$D,"&gt;="&amp;$R$39,'Tickets Recebidos'!$D:$D,"&lt;"&amp;EDATE($R$39,1),'Tickets Recebidos'!$B:$B,"="&amp;N41)</f>
        <v>0</v>
      </c>
      <c r="Q24" s="35">
        <f ca="1">COUNTIFS('Tickets Recebidos'!L:L,"&gt;=0",'Tickets Recebidos'!B:B,"="&amp;N24)</f>
        <v>5</v>
      </c>
      <c r="R24" s="35">
        <f>COUNTIFS('Tickets Recebidos'!J:J,"=RS",'Tickets Recebidos'!B:B,"="&amp;N24)</f>
        <v>1</v>
      </c>
      <c r="S24" s="81"/>
      <c r="T24" s="80"/>
      <c r="U24" s="1"/>
      <c r="V24" s="69"/>
      <c r="W24" s="13"/>
      <c r="X24" s="23"/>
    </row>
    <row r="25" spans="2:24" ht="12" customHeight="1">
      <c r="B25" s="43" t="str">
        <f t="shared" si="3"/>
        <v>EX4</v>
      </c>
      <c r="C25" s="215">
        <v>1</v>
      </c>
      <c r="D25" s="216"/>
      <c r="E25" s="238">
        <v>5</v>
      </c>
      <c r="F25" s="239"/>
      <c r="N25" s="73" t="str">
        <f t="shared" si="4"/>
        <v>EX4</v>
      </c>
      <c r="O25" s="37">
        <f>COUNTIFS('Tickets Recebidos'!B:B,"="&amp;N25)</f>
        <v>12</v>
      </c>
      <c r="P25" s="37">
        <f ca="1">COUNTIFS('Tickets Recebidos'!$D:$D,"&gt;="&amp;$R$39,'Tickets Recebidos'!$D:$D,"&lt;"&amp;EDATE($R$39,1),'Tickets Recebidos'!$B:$B,"="&amp;N42)</f>
        <v>0</v>
      </c>
      <c r="Q25" s="52">
        <f ca="1">COUNTIFS('Tickets Recebidos'!L:L,"&gt;=0",'Tickets Recebidos'!B:B,"="&amp;N25)</f>
        <v>3</v>
      </c>
      <c r="R25" s="52">
        <f>COUNTIFS('Tickets Recebidos'!J:J,"=RS",'Tickets Recebidos'!B:B,"="&amp;N25)</f>
        <v>0</v>
      </c>
      <c r="S25" s="81"/>
      <c r="T25" s="80"/>
      <c r="U25" s="1"/>
      <c r="V25" s="69"/>
      <c r="W25" s="13"/>
      <c r="X25" s="23"/>
    </row>
    <row r="26" spans="2:24" ht="12" customHeight="1">
      <c r="B26" s="30" t="str">
        <f t="shared" si="3"/>
        <v>EX6</v>
      </c>
      <c r="C26" s="217">
        <v>3</v>
      </c>
      <c r="D26" s="218"/>
      <c r="E26" s="236">
        <v>0</v>
      </c>
      <c r="F26" s="237"/>
      <c r="N26" s="72" t="str">
        <f t="shared" si="4"/>
        <v>EX6</v>
      </c>
      <c r="O26" s="20">
        <f>COUNTIFS('Tickets Recebidos'!B:B,"="&amp;N26)</f>
        <v>5</v>
      </c>
      <c r="P26" s="20">
        <f ca="1">COUNTIFS('Tickets Recebidos'!$D:$D,"&gt;="&amp;$R$39,'Tickets Recebidos'!$D:$D,"&lt;"&amp;EDATE($R$39,1),'Tickets Recebidos'!$B:$B,"="&amp;N43)</f>
        <v>0</v>
      </c>
      <c r="Q26" s="35">
        <f ca="1">COUNTIFS('Tickets Recebidos'!L:L,"&gt;=0",'Tickets Recebidos'!B:B,"="&amp;N26)</f>
        <v>2</v>
      </c>
      <c r="R26" s="35">
        <f>COUNTIFS('Tickets Recebidos'!J:J,"=RS",'Tickets Recebidos'!B:B,"="&amp;N26)</f>
        <v>1</v>
      </c>
      <c r="S26" s="81"/>
      <c r="T26" s="80"/>
      <c r="U26" s="1"/>
      <c r="V26" s="69"/>
      <c r="W26" s="13"/>
      <c r="X26" s="23"/>
    </row>
    <row r="27" spans="2:24" ht="12" customHeight="1">
      <c r="B27" s="43" t="str">
        <f t="shared" si="3"/>
        <v>EX2</v>
      </c>
      <c r="C27" s="215">
        <v>4</v>
      </c>
      <c r="D27" s="216"/>
      <c r="E27" s="238">
        <v>3</v>
      </c>
      <c r="F27" s="239"/>
      <c r="N27" s="73" t="str">
        <f t="shared" si="4"/>
        <v>EX2</v>
      </c>
      <c r="O27" s="37">
        <f>COUNTIFS('Tickets Recebidos'!B:B,"="&amp;N27)</f>
        <v>4</v>
      </c>
      <c r="P27" s="37">
        <f ca="1">COUNTIFS('Tickets Recebidos'!$D:$D,"&gt;="&amp;$R$39,'Tickets Recebidos'!$D:$D,"&lt;"&amp;EDATE($R$39,1),'Tickets Recebidos'!$B:$B,"="&amp;N44)</f>
        <v>0</v>
      </c>
      <c r="Q27" s="52">
        <f ca="1">COUNTIFS('Tickets Recebidos'!L:L,"&gt;=0",'Tickets Recebidos'!B:B,"="&amp;N27)</f>
        <v>1</v>
      </c>
      <c r="R27" s="52">
        <f>COUNTIFS('Tickets Recebidos'!J:J,"=RS",'Tickets Recebidos'!B:B,"="&amp;N27)</f>
        <v>0</v>
      </c>
      <c r="S27" s="81"/>
      <c r="T27" s="80"/>
      <c r="U27" s="1"/>
      <c r="V27" s="69"/>
      <c r="W27" s="13"/>
      <c r="X27" s="23"/>
    </row>
    <row r="28" spans="2:24" ht="12" customHeight="1">
      <c r="B28" s="30" t="str">
        <f t="shared" si="3"/>
        <v>EX3</v>
      </c>
      <c r="C28" s="217">
        <v>0</v>
      </c>
      <c r="D28" s="218"/>
      <c r="E28" s="236">
        <v>5</v>
      </c>
      <c r="F28" s="237"/>
      <c r="N28" s="72" t="str">
        <f t="shared" si="4"/>
        <v>EX3</v>
      </c>
      <c r="O28" s="20">
        <f>COUNTIFS('Tickets Recebidos'!B:B,"="&amp;N28)</f>
        <v>21</v>
      </c>
      <c r="P28" s="20">
        <f ca="1">COUNTIFS('Tickets Recebidos'!$D:$D,"&gt;="&amp;$R$39,'Tickets Recebidos'!$D:$D,"&lt;"&amp;EDATE($R$39,1),'Tickets Recebidos'!$B:$B,"="&amp;N45)</f>
        <v>0</v>
      </c>
      <c r="Q28" s="35">
        <f ca="1">COUNTIFS('Tickets Recebidos'!L:L,"&gt;=0",'Tickets Recebidos'!B:B,"="&amp;N28)</f>
        <v>5</v>
      </c>
      <c r="R28" s="35">
        <f>COUNTIFS('Tickets Recebidos'!J:J,"=RS",'Tickets Recebidos'!B:B,"="&amp;N28)</f>
        <v>0</v>
      </c>
      <c r="S28" s="81"/>
      <c r="T28" s="80"/>
      <c r="U28" s="1"/>
      <c r="V28" s="69"/>
      <c r="W28" s="13"/>
      <c r="X28" s="23"/>
    </row>
    <row r="29" spans="2:24" ht="12" customHeight="1">
      <c r="B29" s="43" t="str">
        <f t="shared" si="3"/>
        <v>EX5</v>
      </c>
      <c r="C29" s="215">
        <v>3</v>
      </c>
      <c r="D29" s="216"/>
      <c r="E29" s="238">
        <v>3</v>
      </c>
      <c r="F29" s="239"/>
      <c r="N29" s="73" t="str">
        <f t="shared" si="4"/>
        <v>EX5</v>
      </c>
      <c r="O29" s="37">
        <f>COUNTIFS('Tickets Recebidos'!B:B,"="&amp;N29)</f>
        <v>3</v>
      </c>
      <c r="P29" s="37">
        <f ca="1">COUNTIFS('Tickets Recebidos'!$D:$D,"&gt;="&amp;$R$39,'Tickets Recebidos'!$D:$D,"&lt;"&amp;EDATE($R$39,1),'Tickets Recebidos'!$B:$B,"="&amp;N46)</f>
        <v>0</v>
      </c>
      <c r="Q29" s="52">
        <f ca="1">COUNTIFS('Tickets Recebidos'!L:L,"&gt;=0",'Tickets Recebidos'!B:B,"="&amp;N29)</f>
        <v>3</v>
      </c>
      <c r="R29" s="52">
        <f>COUNTIFS('Tickets Recebidos'!J:J,"=RS",'Tickets Recebidos'!B:B,"="&amp;N29)</f>
        <v>0</v>
      </c>
      <c r="S29" s="81"/>
      <c r="T29" s="80"/>
      <c r="U29" s="1"/>
      <c r="V29" s="69"/>
      <c r="W29" s="13"/>
      <c r="X29" s="23"/>
    </row>
    <row r="30" spans="2:24" ht="12" customHeight="1">
      <c r="B30" s="30" t="str">
        <f t="shared" si="3"/>
        <v>EX8</v>
      </c>
      <c r="C30" s="217">
        <v>4</v>
      </c>
      <c r="D30" s="218"/>
      <c r="E30" s="236">
        <v>4</v>
      </c>
      <c r="F30" s="237"/>
      <c r="N30" s="72" t="str">
        <f t="shared" si="4"/>
        <v>EX8</v>
      </c>
      <c r="O30" s="20">
        <f>COUNTIFS('Tickets Recebidos'!B:B,"="&amp;N30)</f>
        <v>2</v>
      </c>
      <c r="P30" s="20">
        <f ca="1">COUNTIFS('Tickets Recebidos'!$D:$D,"&gt;="&amp;$R$39,'Tickets Recebidos'!$D:$D,"&lt;"&amp;EDATE($R$39,1),'Tickets Recebidos'!$B:$B,"="&amp;N47)</f>
        <v>0</v>
      </c>
      <c r="Q30" s="35">
        <f ca="1">COUNTIFS('Tickets Recebidos'!L:L,"&gt;=0",'Tickets Recebidos'!B:B,"="&amp;N30)</f>
        <v>0</v>
      </c>
      <c r="R30" s="35">
        <f>COUNTIFS('Tickets Recebidos'!J:J,"=RS",'Tickets Recebidos'!B:B,"="&amp;N30)</f>
        <v>0</v>
      </c>
      <c r="S30" s="81"/>
      <c r="T30" s="80"/>
      <c r="U30" s="1"/>
      <c r="V30" s="69"/>
      <c r="W30" s="13"/>
      <c r="X30" s="23"/>
    </row>
    <row r="31" spans="2:24" ht="12" customHeight="1">
      <c r="B31" s="43" t="str">
        <f t="shared" si="3"/>
        <v>-</v>
      </c>
      <c r="C31" s="215" t="s">
        <v>8</v>
      </c>
      <c r="D31" s="216"/>
      <c r="E31" s="238" t="s">
        <v>8</v>
      </c>
      <c r="F31" s="239"/>
      <c r="N31" s="73" t="str">
        <f t="shared" si="4"/>
        <v>-</v>
      </c>
      <c r="O31" s="67" t="s">
        <v>8</v>
      </c>
      <c r="P31" s="67" t="s">
        <v>8</v>
      </c>
      <c r="Q31" s="67" t="s">
        <v>8</v>
      </c>
      <c r="R31" s="38" t="s">
        <v>8</v>
      </c>
      <c r="S31" s="81"/>
      <c r="T31" s="80"/>
      <c r="U31" s="1"/>
      <c r="V31" s="69"/>
      <c r="W31" s="13"/>
      <c r="X31" s="23"/>
    </row>
    <row r="32" spans="2:24" ht="12" customHeight="1">
      <c r="B32" s="30" t="str">
        <f t="shared" si="3"/>
        <v>-</v>
      </c>
      <c r="C32" s="217" t="s">
        <v>8</v>
      </c>
      <c r="D32" s="218"/>
      <c r="E32" s="236" t="s">
        <v>8</v>
      </c>
      <c r="F32" s="237"/>
      <c r="N32" s="72" t="str">
        <f t="shared" si="4"/>
        <v>-</v>
      </c>
      <c r="O32" s="5" t="s">
        <v>8</v>
      </c>
      <c r="P32" s="5" t="s">
        <v>8</v>
      </c>
      <c r="Q32" s="5" t="s">
        <v>8</v>
      </c>
      <c r="R32" s="5" t="s">
        <v>8</v>
      </c>
      <c r="S32" s="81"/>
      <c r="T32" s="80"/>
      <c r="U32" s="1"/>
      <c r="V32" s="69"/>
      <c r="W32" s="13"/>
      <c r="X32" s="23"/>
    </row>
    <row r="33" spans="2:24" ht="12" customHeight="1">
      <c r="B33" s="43" t="str">
        <f t="shared" si="3"/>
        <v>-</v>
      </c>
      <c r="C33" s="215" t="s">
        <v>8</v>
      </c>
      <c r="D33" s="216"/>
      <c r="E33" s="238" t="s">
        <v>8</v>
      </c>
      <c r="F33" s="239"/>
      <c r="N33" s="73" t="str">
        <f t="shared" si="4"/>
        <v>-</v>
      </c>
      <c r="O33" s="67" t="s">
        <v>8</v>
      </c>
      <c r="P33" s="67" t="s">
        <v>8</v>
      </c>
      <c r="Q33" s="67" t="s">
        <v>8</v>
      </c>
      <c r="R33" s="38" t="s">
        <v>8</v>
      </c>
      <c r="S33" s="1"/>
      <c r="T33" s="1"/>
      <c r="U33" s="1"/>
      <c r="V33" s="1"/>
      <c r="W33" s="13"/>
      <c r="X33" s="23"/>
    </row>
    <row r="34" spans="2:24" ht="12" customHeight="1">
      <c r="B34" s="30" t="str">
        <f t="shared" si="3"/>
        <v>-</v>
      </c>
      <c r="C34" s="217" t="s">
        <v>8</v>
      </c>
      <c r="D34" s="218"/>
      <c r="E34" s="236" t="s">
        <v>8</v>
      </c>
      <c r="F34" s="237"/>
      <c r="N34" s="72" t="str">
        <f t="shared" si="4"/>
        <v>-</v>
      </c>
      <c r="O34" s="27" t="s">
        <v>8</v>
      </c>
      <c r="P34" s="27" t="s">
        <v>8</v>
      </c>
      <c r="Q34" s="27" t="s">
        <v>8</v>
      </c>
      <c r="R34" s="27" t="s">
        <v>8</v>
      </c>
      <c r="S34" s="1"/>
      <c r="T34" s="1"/>
      <c r="U34" s="1"/>
      <c r="V34" s="1"/>
      <c r="W34" s="13"/>
      <c r="X34" s="23"/>
    </row>
    <row r="35" spans="2:24" ht="12" customHeight="1">
      <c r="B35" s="44" t="str">
        <f t="shared" si="3"/>
        <v>-</v>
      </c>
      <c r="C35" s="228" t="s">
        <v>8</v>
      </c>
      <c r="D35" s="229"/>
      <c r="E35" s="242" t="s">
        <v>8</v>
      </c>
      <c r="F35" s="243"/>
      <c r="N35" s="73" t="str">
        <f t="shared" si="4"/>
        <v>-</v>
      </c>
      <c r="O35" s="38" t="s">
        <v>8</v>
      </c>
      <c r="P35" s="38" t="s">
        <v>8</v>
      </c>
      <c r="Q35" s="38" t="s">
        <v>8</v>
      </c>
      <c r="R35" s="38" t="s">
        <v>8</v>
      </c>
      <c r="S35" s="1"/>
      <c r="T35" s="1"/>
      <c r="U35" s="1"/>
      <c r="V35" s="1"/>
      <c r="W35" s="13"/>
      <c r="X35" s="23"/>
    </row>
    <row r="36" spans="2:24" ht="12" customHeight="1">
      <c r="B36" s="75" t="s">
        <v>27</v>
      </c>
      <c r="C36" s="219" t="e">
        <f>GETPIVOTDATA("PD TKT",#REF!)</f>
        <v>#REF!</v>
      </c>
      <c r="D36" s="227"/>
      <c r="E36" s="240" t="e">
        <f>GETPIVOTDATA("PD PR",#REF!)</f>
        <v>#REF!</v>
      </c>
      <c r="F36" s="241"/>
      <c r="N36" s="78" t="str">
        <f t="shared" si="4"/>
        <v>Total</v>
      </c>
      <c r="O36" s="34">
        <f>SUM(O23:O32)</f>
        <v>66</v>
      </c>
      <c r="P36" s="34">
        <f ca="1">SUM(P23:P32)</f>
        <v>0</v>
      </c>
      <c r="Q36" s="79">
        <f ca="1">SUM(Q23:Q32)</f>
        <v>21</v>
      </c>
      <c r="R36" s="79">
        <f>SUM(R23:R35)</f>
        <v>2</v>
      </c>
      <c r="S36" s="1"/>
      <c r="T36" s="1"/>
      <c r="U36" s="1"/>
      <c r="V36" s="13"/>
      <c r="W36" s="13"/>
      <c r="X36" s="23"/>
    </row>
    <row r="37" spans="2:24" ht="6.75" customHeight="1">
      <c r="X37" s="23"/>
    </row>
    <row r="38" spans="2:24" ht="18" customHeight="1">
      <c r="B38" s="194" t="s">
        <v>47</v>
      </c>
      <c r="C38" s="195"/>
      <c r="D38" s="195"/>
      <c r="E38" s="195"/>
      <c r="F38" s="214"/>
      <c r="N38" s="196" t="s">
        <v>58</v>
      </c>
      <c r="O38" s="197"/>
      <c r="P38" s="197"/>
      <c r="Q38" s="197"/>
      <c r="R38" s="198"/>
      <c r="S38" s="1"/>
    </row>
    <row r="39" spans="2:24" ht="12" customHeight="1">
      <c r="B39" s="86" t="s">
        <v>18</v>
      </c>
      <c r="C39" s="205" t="s">
        <v>46</v>
      </c>
      <c r="D39" s="206"/>
      <c r="E39" s="205" t="s">
        <v>54</v>
      </c>
      <c r="F39" s="207"/>
      <c r="G39" s="1"/>
      <c r="N39" s="64" t="s">
        <v>0</v>
      </c>
      <c r="O39" s="68">
        <f ca="1">EDATE(P39,-1)</f>
        <v>44044</v>
      </c>
      <c r="P39" s="68">
        <f ca="1">EDATE(Q39,-1)</f>
        <v>44075</v>
      </c>
      <c r="Q39" s="68">
        <f ca="1">EDATE(R39,-1)</f>
        <v>44105</v>
      </c>
      <c r="R39" s="68" t="str">
        <f ca="1">TEXT(TODAY(),"mmm-dd")</f>
        <v>Nov-01</v>
      </c>
      <c r="S39" s="1"/>
      <c r="T39" s="16" t="s">
        <v>29</v>
      </c>
    </row>
    <row r="40" spans="2:24" ht="12" customHeight="1">
      <c r="B40" s="74">
        <f t="shared" ref="B40:B50" ca="1" si="5">EDATE(B41,-1)</f>
        <v>43789</v>
      </c>
      <c r="C40" s="203">
        <f ca="1">IF((COUNTIFS('Tickets Recebidos'!$D:$D,"&gt;="&amp;B40,'Tickets Recebidos'!$D:$D,"&lt;"&amp;EDATE($B40,1)))=0,"-",(COUNTIFS('Tickets Recebidos'!$D:$D,"&gt;="&amp;$B40,'Tickets Recebidos'!$D:$D,"&lt;"&amp;EDATE($B40,1))))</f>
        <v>6</v>
      </c>
      <c r="D40" s="204"/>
      <c r="E40" s="212" t="s">
        <v>8</v>
      </c>
      <c r="F40" s="213"/>
      <c r="G40" s="1"/>
      <c r="N40" s="66" t="str">
        <f>B6</f>
        <v>EX7</v>
      </c>
      <c r="O40" s="49">
        <f ca="1">COUNTIFS('Tickets Recebidos'!$D:$D,"&gt;="&amp;O$39,'Tickets Recebidos'!$D:$D,"&lt;"&amp;EDATE(O$39,1),'Tickets Recebidos'!$B:$B,"="&amp;N40)</f>
        <v>0</v>
      </c>
      <c r="P40" s="49">
        <f ca="1">COUNTIFS('Tickets Recebidos'!$D:$D,"&gt;="&amp;P$39,'Tickets Recebidos'!$D:$D,"&lt;"&amp;EDATE(P$39,1),'Tickets Recebidos'!$B:$B,"="&amp;N40)</f>
        <v>1</v>
      </c>
      <c r="Q40" s="49">
        <f ca="1">COUNTIFS('Tickets Recebidos'!$D:$D,"&gt;="&amp;$Q$39,'Tickets Recebidos'!$D:$D,"&lt;"&amp;EDATE($Q$39,1),'Tickets Recebidos'!$B:$B,"="&amp;N40)</f>
        <v>1</v>
      </c>
      <c r="R40" s="51">
        <f ca="1">COUNTIFS('Tickets Recebidos'!$D:$D,"&gt;="&amp;$R$39,'Tickets Recebidos'!$D:$D,"&lt;"&amp;EDATE($R$39,1),'Tickets Recebidos'!$B:$B,"="&amp;N40)</f>
        <v>0</v>
      </c>
      <c r="S40" s="1"/>
      <c r="T40" s="17">
        <f ca="1">O40-P40</f>
        <v>-1</v>
      </c>
    </row>
    <row r="41" spans="2:24" ht="12" customHeight="1">
      <c r="B41" s="72">
        <f t="shared" ca="1" si="5"/>
        <v>43819</v>
      </c>
      <c r="C41" s="199" t="str">
        <f ca="1">IF((COUNTIFS('Tickets Recebidos'!$D:$D,"&gt;="&amp;B41,'Tickets Recebidos'!$D:$D,"&lt;"&amp;EDATE($B41,1)))=0,"-",(COUNTIFS('Tickets Recebidos'!$D:$D,"&gt;="&amp;$B41,'Tickets Recebidos'!$D:$D,"&lt;"&amp;EDATE($B41,1))))</f>
        <v>-</v>
      </c>
      <c r="D41" s="200"/>
      <c r="E41" s="208" t="str">
        <f ca="1">IF((IFERROR((C41/C40-1),"-"))="-","-",(C41/C40-1))</f>
        <v>-</v>
      </c>
      <c r="F41" s="209"/>
      <c r="G41" s="1"/>
      <c r="N41" s="65" t="str">
        <f t="shared" ref="N41:R53" si="6">B7</f>
        <v>EX1</v>
      </c>
      <c r="O41" s="19">
        <f ca="1">COUNTIFS('Tickets Recebidos'!$D:$D,"&gt;="&amp;O$39,'Tickets Recebidos'!$D:$D,"&lt;"&amp;EDATE(O$39,1),'Tickets Recebidos'!$B:$B,"="&amp;N41)</f>
        <v>4</v>
      </c>
      <c r="P41" s="19">
        <f ca="1">COUNTIFS('Tickets Recebidos'!$D:$D,"&gt;="&amp;P$39,'Tickets Recebidos'!$D:$D,"&lt;"&amp;EDATE(P$39,1),'Tickets Recebidos'!$B:$B,"="&amp;N41)</f>
        <v>2</v>
      </c>
      <c r="Q41" s="19">
        <f ca="1">COUNTIFS('Tickets Recebidos'!$D:$D,"&gt;="&amp;$Q$39,'Tickets Recebidos'!$D:$D,"&lt;"&amp;EDATE($Q$39,1),'Tickets Recebidos'!$B:$B,"="&amp;N41)</f>
        <v>6</v>
      </c>
      <c r="R41" s="19">
        <f ca="1">COUNTIFS('Tickets Recebidos'!$D:$D,"&gt;="&amp;$R$39,'Tickets Recebidos'!$D:$D,"&lt;"&amp;EDATE($R$39,1),'Tickets Recebidos'!$B:$B,"="&amp;N41)</f>
        <v>0</v>
      </c>
      <c r="S41" s="1"/>
      <c r="T41" s="17">
        <f t="shared" ref="T41:T47" ca="1" si="7">O41-P41</f>
        <v>2</v>
      </c>
    </row>
    <row r="42" spans="2:24" ht="12" customHeight="1">
      <c r="B42" s="73">
        <f t="shared" ca="1" si="5"/>
        <v>43850</v>
      </c>
      <c r="C42" s="201" t="str">
        <f ca="1">IF((COUNTIFS('Tickets Recebidos'!$D:$D,"&gt;="&amp;B42,'Tickets Recebidos'!$D:$D,"&lt;"&amp;EDATE($B42,1)))=0,"-",(COUNTIFS('Tickets Recebidos'!$D:$D,"&gt;="&amp;$B42,'Tickets Recebidos'!$D:$D,"&lt;"&amp;EDATE($B42,1))))</f>
        <v>-</v>
      </c>
      <c r="D42" s="202"/>
      <c r="E42" s="210" t="str">
        <f t="shared" ref="E42:E51" ca="1" si="8">IF((IFERROR((C42/C41-1),"-"))="-","-",(C42/C41-1))</f>
        <v>-</v>
      </c>
      <c r="F42" s="211"/>
      <c r="G42" s="1"/>
      <c r="N42" s="66" t="str">
        <f t="shared" si="6"/>
        <v>EX4</v>
      </c>
      <c r="O42" s="39">
        <f ca="1">COUNTIFS('Tickets Recebidos'!$D:$D,"&gt;="&amp;O$39,'Tickets Recebidos'!$D:$D,"&lt;"&amp;EDATE(O$39,1),'Tickets Recebidos'!$B:$B,"="&amp;N42)</f>
        <v>2</v>
      </c>
      <c r="P42" s="39">
        <f ca="1">COUNTIFS('Tickets Recebidos'!$D:$D,"&gt;="&amp;P$39,'Tickets Recebidos'!$D:$D,"&lt;"&amp;EDATE(P$39,1),'Tickets Recebidos'!$B:$B,"="&amp;N42)</f>
        <v>1</v>
      </c>
      <c r="Q42" s="39">
        <f ca="1">COUNTIFS('Tickets Recebidos'!$D:$D,"&gt;="&amp;$Q$39,'Tickets Recebidos'!$D:$D,"&lt;"&amp;EDATE($Q$39,1),'Tickets Recebidos'!$B:$B,"="&amp;N42)</f>
        <v>4</v>
      </c>
      <c r="R42" s="39">
        <f ca="1">COUNTIFS('Tickets Recebidos'!$D:$D,"&gt;="&amp;$R$39,'Tickets Recebidos'!$D:$D,"&lt;"&amp;EDATE($R$39,1),'Tickets Recebidos'!$B:$B,"="&amp;N42)</f>
        <v>0</v>
      </c>
      <c r="S42" s="1"/>
      <c r="T42" s="17">
        <f t="shared" ca="1" si="7"/>
        <v>1</v>
      </c>
    </row>
    <row r="43" spans="2:24" ht="12" customHeight="1">
      <c r="B43" s="72">
        <f t="shared" ca="1" si="5"/>
        <v>43881</v>
      </c>
      <c r="C43" s="199" t="str">
        <f ca="1">IF((COUNTIFS('Tickets Recebidos'!$D:$D,"&gt;="&amp;B43,'Tickets Recebidos'!$D:$D,"&lt;"&amp;EDATE($B43,1)))=0,"-",(COUNTIFS('Tickets Recebidos'!$D:$D,"&gt;="&amp;$B43,'Tickets Recebidos'!$D:$D,"&lt;"&amp;EDATE($B43,1))))</f>
        <v>-</v>
      </c>
      <c r="D43" s="200"/>
      <c r="E43" s="208" t="str">
        <f t="shared" ca="1" si="8"/>
        <v>-</v>
      </c>
      <c r="F43" s="209"/>
      <c r="G43" s="1"/>
      <c r="N43" s="65" t="str">
        <f t="shared" si="6"/>
        <v>EX6</v>
      </c>
      <c r="O43" s="5">
        <f ca="1">COUNTIFS('Tickets Recebidos'!$D:$D,"&gt;="&amp;O$39,'Tickets Recebidos'!$D:$D,"&lt;"&amp;EDATE(O$39,1),'Tickets Recebidos'!$B:$B,"="&amp;N43)</f>
        <v>1</v>
      </c>
      <c r="P43" s="5">
        <f ca="1">COUNTIFS('Tickets Recebidos'!$D:$D,"&gt;="&amp;P$39,'Tickets Recebidos'!$D:$D,"&lt;"&amp;EDATE(P$39,1),'Tickets Recebidos'!$B:$B,"="&amp;N43)</f>
        <v>1</v>
      </c>
      <c r="Q43" s="5">
        <f ca="1">COUNTIFS('Tickets Recebidos'!$D:$D,"&gt;="&amp;$Q$39,'Tickets Recebidos'!$D:$D,"&lt;"&amp;EDATE($Q$39,1),'Tickets Recebidos'!$B:$B,"="&amp;N43)</f>
        <v>1</v>
      </c>
      <c r="R43" s="5">
        <f ca="1">COUNTIFS('Tickets Recebidos'!$D:$D,"&gt;="&amp;$R$39,'Tickets Recebidos'!$D:$D,"&lt;"&amp;EDATE($R$39,1),'Tickets Recebidos'!$B:$B,"="&amp;N43)</f>
        <v>0</v>
      </c>
      <c r="S43" s="1"/>
      <c r="T43" s="17">
        <f t="shared" ca="1" si="7"/>
        <v>0</v>
      </c>
    </row>
    <row r="44" spans="2:24" ht="12" customHeight="1">
      <c r="B44" s="73">
        <f t="shared" ca="1" si="5"/>
        <v>43910</v>
      </c>
      <c r="C44" s="201" t="str">
        <f ca="1">IF((COUNTIFS('Tickets Recebidos'!$D:$D,"&gt;="&amp;B44,'Tickets Recebidos'!$D:$D,"&lt;"&amp;EDATE($B44,1)))=0,"-",(COUNTIFS('Tickets Recebidos'!$D:$D,"&gt;="&amp;$B44,'Tickets Recebidos'!$D:$D,"&lt;"&amp;EDATE($B44,1))))</f>
        <v>-</v>
      </c>
      <c r="D44" s="202"/>
      <c r="E44" s="210" t="str">
        <f t="shared" ca="1" si="8"/>
        <v>-</v>
      </c>
      <c r="F44" s="211"/>
      <c r="G44" s="1"/>
      <c r="N44" s="66" t="str">
        <f t="shared" si="6"/>
        <v>EX2</v>
      </c>
      <c r="O44" s="39">
        <f ca="1">COUNTIFS('Tickets Recebidos'!$D:$D,"&gt;="&amp;O$39,'Tickets Recebidos'!$D:$D,"&lt;"&amp;EDATE(O$39,1),'Tickets Recebidos'!$B:$B,"="&amp;N44)</f>
        <v>1</v>
      </c>
      <c r="P44" s="39">
        <f ca="1">COUNTIFS('Tickets Recebidos'!$D:$D,"&gt;="&amp;P$39,'Tickets Recebidos'!$D:$D,"&lt;"&amp;EDATE(P$39,1),'Tickets Recebidos'!$B:$B,"="&amp;N44)</f>
        <v>1</v>
      </c>
      <c r="Q44" s="39">
        <f ca="1">COUNTIFS('Tickets Recebidos'!$D:$D,"&gt;="&amp;$Q$39,'Tickets Recebidos'!$D:$D,"&lt;"&amp;EDATE($Q$39,1),'Tickets Recebidos'!$B:$B,"="&amp;N44)</f>
        <v>0</v>
      </c>
      <c r="R44" s="39">
        <f ca="1">COUNTIFS('Tickets Recebidos'!$D:$D,"&gt;="&amp;$R$39,'Tickets Recebidos'!$D:$D,"&lt;"&amp;EDATE($R$39,1),'Tickets Recebidos'!$B:$B,"="&amp;N44)</f>
        <v>0</v>
      </c>
      <c r="S44" s="1"/>
      <c r="T44" s="17">
        <f t="shared" ca="1" si="7"/>
        <v>0</v>
      </c>
    </row>
    <row r="45" spans="2:24" ht="12" customHeight="1">
      <c r="B45" s="72">
        <f t="shared" ca="1" si="5"/>
        <v>43941</v>
      </c>
      <c r="C45" s="199">
        <f ca="1">IF((COUNTIFS('Tickets Recebidos'!$D:$D,"&gt;="&amp;B45,'Tickets Recebidos'!$D:$D,"&lt;"&amp;EDATE($B45,1)))=0,"-",(COUNTIFS('Tickets Recebidos'!$D:$D,"&gt;="&amp;$B45,'Tickets Recebidos'!$D:$D,"&lt;"&amp;EDATE($B45,1))))</f>
        <v>1</v>
      </c>
      <c r="D45" s="200"/>
      <c r="E45" s="208" t="str">
        <f t="shared" ca="1" si="8"/>
        <v>-</v>
      </c>
      <c r="F45" s="209"/>
      <c r="G45" s="1"/>
      <c r="N45" s="65" t="str">
        <f t="shared" si="6"/>
        <v>EX3</v>
      </c>
      <c r="O45" s="5">
        <f ca="1">COUNTIFS('Tickets Recebidos'!$D:$D,"&gt;="&amp;O$39,'Tickets Recebidos'!$D:$D,"&lt;"&amp;EDATE(O$39,1),'Tickets Recebidos'!$B:$B,"="&amp;N45)</f>
        <v>17</v>
      </c>
      <c r="P45" s="5">
        <f ca="1">COUNTIFS('Tickets Recebidos'!$D:$D,"&gt;="&amp;P$39,'Tickets Recebidos'!$D:$D,"&lt;"&amp;EDATE(P$39,1),'Tickets Recebidos'!$B:$B,"="&amp;N45)</f>
        <v>0</v>
      </c>
      <c r="Q45" s="5">
        <f ca="1">COUNTIFS('Tickets Recebidos'!$D:$D,"&gt;="&amp;$Q$39,'Tickets Recebidos'!$D:$D,"&lt;"&amp;EDATE($Q$39,1),'Tickets Recebidos'!$B:$B,"="&amp;N45)</f>
        <v>4</v>
      </c>
      <c r="R45" s="5">
        <f ca="1">COUNTIFS('Tickets Recebidos'!$D:$D,"&gt;="&amp;$R$39,'Tickets Recebidos'!$D:$D,"&lt;"&amp;EDATE($R$39,1),'Tickets Recebidos'!$B:$B,"="&amp;N45)</f>
        <v>0</v>
      </c>
      <c r="S45" s="1"/>
      <c r="T45" s="17">
        <f t="shared" ca="1" si="7"/>
        <v>17</v>
      </c>
    </row>
    <row r="46" spans="2:24" ht="12" customHeight="1">
      <c r="B46" s="73">
        <f t="shared" ca="1" si="5"/>
        <v>43971</v>
      </c>
      <c r="C46" s="201" t="str">
        <f ca="1">IF((COUNTIFS('Tickets Recebidos'!$D:$D,"&gt;="&amp;B46,'Tickets Recebidos'!$D:$D,"&lt;"&amp;EDATE($B46,1)))=0,"-",(COUNTIFS('Tickets Recebidos'!$D:$D,"&gt;="&amp;$B46,'Tickets Recebidos'!$D:$D,"&lt;"&amp;EDATE($B46,1))))</f>
        <v>-</v>
      </c>
      <c r="D46" s="202"/>
      <c r="E46" s="210" t="str">
        <f t="shared" ca="1" si="8"/>
        <v>-</v>
      </c>
      <c r="F46" s="211"/>
      <c r="G46" s="1"/>
      <c r="N46" s="66" t="str">
        <f t="shared" si="6"/>
        <v>EX5</v>
      </c>
      <c r="O46" s="39">
        <f ca="1">COUNTIFS('Tickets Recebidos'!$D:$D,"&gt;="&amp;O$39,'Tickets Recebidos'!$D:$D,"&lt;"&amp;EDATE(O$39,1),'Tickets Recebidos'!$B:$B,"="&amp;N46)</f>
        <v>0</v>
      </c>
      <c r="P46" s="39">
        <f ca="1">COUNTIFS('Tickets Recebidos'!$D:$D,"&gt;="&amp;P$39,'Tickets Recebidos'!$D:$D,"&lt;"&amp;EDATE(P$39,1),'Tickets Recebidos'!$B:$B,"="&amp;N46)</f>
        <v>1</v>
      </c>
      <c r="Q46" s="39">
        <f ca="1">COUNTIFS('Tickets Recebidos'!$D:$D,"&gt;="&amp;$Q$39,'Tickets Recebidos'!$D:$D,"&lt;"&amp;EDATE($Q$39,1),'Tickets Recebidos'!$B:$B,"="&amp;N46)</f>
        <v>2</v>
      </c>
      <c r="R46" s="39">
        <f ca="1">COUNTIFS('Tickets Recebidos'!$D:$D,"&gt;="&amp;$R$39,'Tickets Recebidos'!$D:$D,"&lt;"&amp;EDATE($R$39,1),'Tickets Recebidos'!$B:$B,"="&amp;N46)</f>
        <v>0</v>
      </c>
      <c r="S46" s="1"/>
      <c r="T46" s="17">
        <f t="shared" ca="1" si="7"/>
        <v>-1</v>
      </c>
    </row>
    <row r="47" spans="2:24" ht="12" customHeight="1">
      <c r="B47" s="72">
        <f t="shared" ca="1" si="5"/>
        <v>44002</v>
      </c>
      <c r="C47" s="199">
        <f ca="1">IF((COUNTIFS('Tickets Recebidos'!$D:$D,"&gt;="&amp;B47,'Tickets Recebidos'!$D:$D,"&lt;"&amp;EDATE($B47,1)))=0,"-",(COUNTIFS('Tickets Recebidos'!$D:$D,"&gt;="&amp;$B47,'Tickets Recebidos'!$D:$D,"&lt;"&amp;EDATE($B47,1))))</f>
        <v>3</v>
      </c>
      <c r="D47" s="200"/>
      <c r="E47" s="208" t="str">
        <f t="shared" ca="1" si="8"/>
        <v>-</v>
      </c>
      <c r="F47" s="209"/>
      <c r="G47" s="1"/>
      <c r="N47" s="65" t="str">
        <f t="shared" si="6"/>
        <v>EX8</v>
      </c>
      <c r="O47" s="5">
        <f ca="1">COUNTIFS('Tickets Recebidos'!$D:$D,"&gt;="&amp;O$39,'Tickets Recebidos'!$D:$D,"&lt;"&amp;EDATE(O$39,1),'Tickets Recebidos'!$B:$B,"="&amp;N47)</f>
        <v>2</v>
      </c>
      <c r="P47" s="5">
        <f ca="1">COUNTIFS('Tickets Recebidos'!$D:$D,"&gt;="&amp;P$39,'Tickets Recebidos'!$D:$D,"&lt;"&amp;EDATE(P$39,1),'Tickets Recebidos'!$B:$B,"="&amp;N47)</f>
        <v>0</v>
      </c>
      <c r="Q47" s="5">
        <f ca="1">COUNTIFS('Tickets Recebidos'!$D:$D,"&gt;="&amp;$Q$39,'Tickets Recebidos'!$D:$D,"&lt;"&amp;EDATE($Q$39,1),'Tickets Recebidos'!$B:$B,"="&amp;N47)</f>
        <v>0</v>
      </c>
      <c r="R47" s="5">
        <f ca="1">COUNTIFS('Tickets Recebidos'!$D:$D,"&gt;="&amp;$R$39,'Tickets Recebidos'!$D:$D,"&lt;"&amp;EDATE($R$39,1),'Tickets Recebidos'!$B:$B,"="&amp;N47)</f>
        <v>0</v>
      </c>
      <c r="S47" s="1"/>
      <c r="T47" s="17">
        <f t="shared" ca="1" si="7"/>
        <v>2</v>
      </c>
    </row>
    <row r="48" spans="2:24" ht="12" customHeight="1">
      <c r="B48" s="73">
        <f t="shared" ca="1" si="5"/>
        <v>44032</v>
      </c>
      <c r="C48" s="201">
        <f ca="1">IF((COUNTIFS('Tickets Recebidos'!$D:$D,"&gt;="&amp;B48,'Tickets Recebidos'!$D:$D,"&lt;"&amp;EDATE($B48,1)))=0,"-",(COUNTIFS('Tickets Recebidos'!$D:$D,"&gt;="&amp;$B48,'Tickets Recebidos'!$D:$D,"&lt;"&amp;EDATE($B48,1))))</f>
        <v>14</v>
      </c>
      <c r="D48" s="202"/>
      <c r="E48" s="210">
        <f t="shared" ca="1" si="8"/>
        <v>3.666666666666667</v>
      </c>
      <c r="F48" s="211"/>
      <c r="G48" s="1"/>
      <c r="N48" s="66" t="str">
        <f t="shared" si="6"/>
        <v>-</v>
      </c>
      <c r="O48" s="39">
        <f ca="1">COUNTIFS('Tickets Recebidos'!$D:$D,"&gt;="&amp;O$39,'Tickets Recebidos'!$D:$D,"&lt;"&amp;EDATE(O$39,1),'Tickets Recebidos'!$B:$B,"="&amp;N48)</f>
        <v>0</v>
      </c>
      <c r="P48" s="39">
        <f ca="1">COUNTIFS('Tickets Recebidos'!$D:$D,"&gt;="&amp;P$39,'Tickets Recebidos'!$D:$D,"&lt;"&amp;EDATE(P$39,1),'Tickets Recebidos'!$B:$B,"="&amp;N48)</f>
        <v>0</v>
      </c>
      <c r="Q48" s="39">
        <f ca="1">COUNTIFS('Tickets Recebidos'!$D:$D,"&gt;="&amp;$Q$39,'Tickets Recebidos'!$D:$D,"&lt;"&amp;EDATE($Q$39,1),'Tickets Recebidos'!$B:$B,"="&amp;N48)</f>
        <v>0</v>
      </c>
      <c r="R48" s="39">
        <f ca="1">COUNTIFS('Tickets Recebidos'!$D:$D,"&gt;="&amp;$R$39,'Tickets Recebidos'!$D:$D,"&lt;"&amp;EDATE($R$39,1),'Tickets Recebidos'!$B:$B,"="&amp;N48)</f>
        <v>0</v>
      </c>
      <c r="S48" s="1"/>
      <c r="T48" s="17"/>
    </row>
    <row r="49" spans="1:43" ht="12" customHeight="1">
      <c r="B49" s="72">
        <f t="shared" ca="1" si="5"/>
        <v>44063</v>
      </c>
      <c r="C49" s="199">
        <f ca="1">IF((COUNTIFS('Tickets Recebidos'!$D:$D,"&gt;="&amp;B49,'Tickets Recebidos'!$D:$D,"&lt;"&amp;EDATE($B49,1)))=0,"-",(COUNTIFS('Tickets Recebidos'!$D:$D,"&gt;="&amp;$B49,'Tickets Recebidos'!$D:$D,"&lt;"&amp;EDATE($B49,1))))</f>
        <v>14</v>
      </c>
      <c r="D49" s="200"/>
      <c r="E49" s="208">
        <f t="shared" ca="1" si="8"/>
        <v>0</v>
      </c>
      <c r="F49" s="209"/>
      <c r="G49" s="1"/>
      <c r="N49" s="65" t="str">
        <f t="shared" si="6"/>
        <v>-</v>
      </c>
      <c r="O49" s="65" t="str">
        <f t="shared" si="6"/>
        <v>-</v>
      </c>
      <c r="P49" s="65" t="str">
        <f t="shared" si="6"/>
        <v>-</v>
      </c>
      <c r="Q49" s="65" t="str">
        <f t="shared" si="6"/>
        <v>-</v>
      </c>
      <c r="R49" s="65" t="str">
        <f t="shared" si="6"/>
        <v>-</v>
      </c>
      <c r="S49" s="1"/>
      <c r="T49" s="17"/>
    </row>
    <row r="50" spans="1:43" ht="12" customHeight="1">
      <c r="B50" s="73">
        <f t="shared" ca="1" si="5"/>
        <v>44094</v>
      </c>
      <c r="C50" s="201">
        <f ca="1">IF((COUNTIFS('Tickets Recebidos'!$D:$D,"&gt;="&amp;B50,'Tickets Recebidos'!$D:$D,"&lt;"&amp;EDATE($B50,1)))=0,"-",(COUNTIFS('Tickets Recebidos'!$D:$D,"&gt;="&amp;$B50,'Tickets Recebidos'!$D:$D,"&lt;"&amp;EDATE($B50,1))))</f>
        <v>19</v>
      </c>
      <c r="D50" s="202"/>
      <c r="E50" s="210">
        <f t="shared" ca="1" si="8"/>
        <v>0.35714285714285721</v>
      </c>
      <c r="F50" s="211"/>
      <c r="G50" s="1"/>
      <c r="N50" s="67" t="str">
        <f t="shared" si="6"/>
        <v>-</v>
      </c>
      <c r="O50" s="67" t="s">
        <v>8</v>
      </c>
      <c r="P50" s="67" t="s">
        <v>8</v>
      </c>
      <c r="Q50" s="67" t="s">
        <v>8</v>
      </c>
      <c r="R50" s="38" t="s">
        <v>8</v>
      </c>
      <c r="S50" s="1"/>
      <c r="T50" s="17"/>
    </row>
    <row r="51" spans="1:43" ht="12" customHeight="1">
      <c r="B51" s="72">
        <f ca="1">EDATE(B52,-1)</f>
        <v>44124</v>
      </c>
      <c r="C51" s="199">
        <f ca="1">IF((COUNTIFS('Tickets Recebidos'!$D:$D,"&gt;="&amp;B51,'Tickets Recebidos'!$D:$D,"&lt;"&amp;EDATE($B51,1)))=0,"-",(COUNTIFS('Tickets Recebidos'!$D:$D,"&gt;="&amp;$B51,'Tickets Recebidos'!$D:$D,"&lt;"&amp;EDATE($B51,1))))</f>
        <v>5</v>
      </c>
      <c r="D51" s="200"/>
      <c r="E51" s="208">
        <f t="shared" ca="1" si="8"/>
        <v>-0.73684210526315796</v>
      </c>
      <c r="F51" s="209"/>
      <c r="G51" s="1"/>
      <c r="N51" s="27" t="str">
        <f t="shared" si="6"/>
        <v>-</v>
      </c>
      <c r="O51" s="27" t="s">
        <v>8</v>
      </c>
      <c r="P51" s="27" t="s">
        <v>8</v>
      </c>
      <c r="Q51" s="27" t="s">
        <v>8</v>
      </c>
      <c r="R51" s="27" t="s">
        <v>8</v>
      </c>
      <c r="S51" s="1"/>
      <c r="T51" s="17"/>
    </row>
    <row r="52" spans="1:43" ht="12" customHeight="1">
      <c r="B52" s="76" t="str">
        <f ca="1">TEXT(TODAY(),"mmm-yy")</f>
        <v>Nov-20</v>
      </c>
      <c r="C52" s="221">
        <f ca="1">IF((COUNTIFS('Tickets Recebidos'!$D:$D,"&gt;="&amp;B52,'Tickets Recebidos'!$D:$D,"&lt;"&amp;EDATE($B52,1)))=0,"-",(COUNTIFS('Tickets Recebidos'!$D:$D,"&gt;="&amp;$B52,'Tickets Recebidos'!$D:$D,"&lt;"&amp;EDATE($B52,1))))</f>
        <v>3</v>
      </c>
      <c r="D52" s="222"/>
      <c r="E52" s="225" t="s">
        <v>8</v>
      </c>
      <c r="F52" s="226"/>
      <c r="G52" s="1"/>
      <c r="N52" s="38" t="str">
        <f t="shared" si="6"/>
        <v>-</v>
      </c>
      <c r="O52" s="38" t="s">
        <v>8</v>
      </c>
      <c r="P52" s="38" t="s">
        <v>8</v>
      </c>
      <c r="Q52" s="38" t="s">
        <v>8</v>
      </c>
      <c r="R52" s="38" t="s">
        <v>8</v>
      </c>
      <c r="S52" s="1"/>
      <c r="T52" s="17"/>
    </row>
    <row r="53" spans="1:43" ht="12" customHeight="1">
      <c r="B53" s="75" t="s">
        <v>2</v>
      </c>
      <c r="C53" s="219">
        <f>COUNTIFS('Tickets Recebidos'!$C:$C,"&gt;0")</f>
        <v>66</v>
      </c>
      <c r="D53" s="220"/>
      <c r="E53" s="223" t="s">
        <v>8</v>
      </c>
      <c r="F53" s="224"/>
      <c r="G53" s="1"/>
      <c r="N53" s="28" t="str">
        <f t="shared" si="6"/>
        <v>Total</v>
      </c>
      <c r="O53" s="32">
        <f ca="1">SUM(O40:O52)</f>
        <v>27</v>
      </c>
      <c r="P53" s="32">
        <f ca="1">SUM(P40:P52)</f>
        <v>7</v>
      </c>
      <c r="Q53" s="32">
        <f t="shared" ref="Q53:R53" ca="1" si="9">SUM(Q40:Q52)</f>
        <v>18</v>
      </c>
      <c r="R53" s="32">
        <f t="shared" ca="1" si="9"/>
        <v>0</v>
      </c>
      <c r="S53" s="1"/>
      <c r="T53" s="17"/>
    </row>
    <row r="54" spans="1:43" s="7" customFormat="1" ht="12" customHeight="1">
      <c r="A54" s="2"/>
      <c r="B54" s="25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1"/>
      <c r="S54" s="1"/>
      <c r="T54" s="2"/>
      <c r="U54" s="2"/>
      <c r="V54" s="2"/>
      <c r="W54" s="2"/>
      <c r="X54" s="2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</row>
  </sheetData>
  <sheetProtection sort="0" autoFilter="0" pivotTables="0"/>
  <mergeCells count="68">
    <mergeCell ref="E36:F36"/>
    <mergeCell ref="E35:F35"/>
    <mergeCell ref="E34:F34"/>
    <mergeCell ref="E31:F31"/>
    <mergeCell ref="E29:F29"/>
    <mergeCell ref="E30:F30"/>
    <mergeCell ref="E33:F33"/>
    <mergeCell ref="E32:F32"/>
    <mergeCell ref="C31:D31"/>
    <mergeCell ref="C30:D30"/>
    <mergeCell ref="E24:F24"/>
    <mergeCell ref="E28:F28"/>
    <mergeCell ref="E26:F26"/>
    <mergeCell ref="E25:F25"/>
    <mergeCell ref="E27:F27"/>
    <mergeCell ref="C29:D29"/>
    <mergeCell ref="W2:X2"/>
    <mergeCell ref="C36:D36"/>
    <mergeCell ref="C35:D35"/>
    <mergeCell ref="C34:D34"/>
    <mergeCell ref="C33:D33"/>
    <mergeCell ref="C32:D32"/>
    <mergeCell ref="B4:F4"/>
    <mergeCell ref="N4:R4"/>
    <mergeCell ref="N21:R21"/>
    <mergeCell ref="C24:D24"/>
    <mergeCell ref="C23:D23"/>
    <mergeCell ref="C22:D22"/>
    <mergeCell ref="B21:F21"/>
    <mergeCell ref="E23:F23"/>
    <mergeCell ref="E22:F22"/>
    <mergeCell ref="C28:D28"/>
    <mergeCell ref="E53:F53"/>
    <mergeCell ref="E52:F52"/>
    <mergeCell ref="E51:F51"/>
    <mergeCell ref="E50:F50"/>
    <mergeCell ref="E49:F49"/>
    <mergeCell ref="C53:D53"/>
    <mergeCell ref="C52:D52"/>
    <mergeCell ref="C51:D51"/>
    <mergeCell ref="C50:D50"/>
    <mergeCell ref="C49:D49"/>
    <mergeCell ref="E48:F48"/>
    <mergeCell ref="E47:F47"/>
    <mergeCell ref="E46:F46"/>
    <mergeCell ref="E45:F45"/>
    <mergeCell ref="E44:F44"/>
    <mergeCell ref="C48:D48"/>
    <mergeCell ref="C47:D47"/>
    <mergeCell ref="C44:D44"/>
    <mergeCell ref="C46:D46"/>
    <mergeCell ref="C45:D45"/>
    <mergeCell ref="A2:V2"/>
    <mergeCell ref="N38:R38"/>
    <mergeCell ref="C43:D43"/>
    <mergeCell ref="C42:D42"/>
    <mergeCell ref="C41:D41"/>
    <mergeCell ref="C40:D40"/>
    <mergeCell ref="C39:D39"/>
    <mergeCell ref="E39:F39"/>
    <mergeCell ref="E43:F43"/>
    <mergeCell ref="E42:F42"/>
    <mergeCell ref="E41:F41"/>
    <mergeCell ref="E40:F40"/>
    <mergeCell ref="B38:F38"/>
    <mergeCell ref="C27:D27"/>
    <mergeCell ref="C26:D26"/>
    <mergeCell ref="C25:D2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W66"/>
  <sheetViews>
    <sheetView zoomScale="85" zoomScaleNormal="85" workbookViewId="0">
      <selection activeCell="B44" sqref="B44"/>
    </sheetView>
  </sheetViews>
  <sheetFormatPr defaultColWidth="9.109375" defaultRowHeight="13.2"/>
  <cols>
    <col min="1" max="1" width="1.6640625" style="1" customWidth="1"/>
    <col min="2" max="6" width="11.88671875" style="1" customWidth="1"/>
    <col min="7" max="10" width="10.33203125" style="1" customWidth="1"/>
    <col min="11" max="12" width="10.33203125" style="2" customWidth="1"/>
    <col min="13" max="13" width="0.88671875" style="2" customWidth="1"/>
    <col min="14" max="14" width="11.6640625" style="1" customWidth="1"/>
    <col min="15" max="17" width="11.6640625" style="2" customWidth="1"/>
    <col min="18" max="23" width="10.33203125" style="1" customWidth="1"/>
    <col min="24" max="16384" width="9.109375" style="1"/>
  </cols>
  <sheetData>
    <row r="1" spans="1:23" ht="3" customHeight="1"/>
    <row r="2" spans="1:23" ht="18" customHeight="1">
      <c r="A2" s="194" t="s">
        <v>28</v>
      </c>
      <c r="B2" s="195"/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214"/>
    </row>
    <row r="3" spans="1:23" ht="5.25" customHeight="1">
      <c r="R3" s="12"/>
      <c r="S3" s="2"/>
      <c r="T3" s="2"/>
      <c r="U3" s="2"/>
      <c r="V3" s="2"/>
    </row>
    <row r="4" spans="1:23" ht="18" customHeight="1">
      <c r="B4" s="196" t="s">
        <v>42</v>
      </c>
      <c r="C4" s="197"/>
      <c r="D4" s="197"/>
      <c r="E4" s="197"/>
      <c r="F4" s="198"/>
      <c r="N4" s="196" t="s">
        <v>43</v>
      </c>
      <c r="O4" s="197"/>
      <c r="P4" s="197"/>
      <c r="Q4" s="198"/>
      <c r="R4" s="2"/>
      <c r="S4" s="2"/>
      <c r="T4" s="2"/>
      <c r="U4" s="2"/>
      <c r="V4" s="2"/>
    </row>
    <row r="5" spans="1:23" ht="12.75" customHeight="1">
      <c r="A5" s="2"/>
      <c r="B5" s="6" t="s">
        <v>0</v>
      </c>
      <c r="C5" s="3" t="s">
        <v>15</v>
      </c>
      <c r="D5" s="3" t="s">
        <v>16</v>
      </c>
      <c r="E5" s="4" t="s">
        <v>17</v>
      </c>
      <c r="F5" s="26" t="s">
        <v>2</v>
      </c>
      <c r="G5" s="2"/>
      <c r="H5" s="2"/>
      <c r="I5" s="2"/>
      <c r="J5" s="2"/>
      <c r="N5" s="6" t="s">
        <v>0</v>
      </c>
      <c r="O5" s="3" t="s">
        <v>24</v>
      </c>
      <c r="P5" s="4" t="s">
        <v>53</v>
      </c>
      <c r="Q5" s="26" t="s">
        <v>2</v>
      </c>
      <c r="R5" s="2"/>
      <c r="S5" s="2"/>
      <c r="T5" s="2"/>
      <c r="U5" s="2"/>
      <c r="V5" s="2"/>
    </row>
    <row r="6" spans="1:23" ht="12.75" customHeight="1">
      <c r="B6" s="38" t="str">
        <f>Geral!B6</f>
        <v>EX7</v>
      </c>
      <c r="C6" s="39">
        <f ca="1">COUNTIFS('Tickets Recebidos'!L:L,"&lt;=7",'Tickets Recebidos'!B:B,"="&amp;B6)</f>
        <v>1</v>
      </c>
      <c r="D6" s="39">
        <f ca="1">COUNTIFS('Tickets Recebidos'!L:L,"&lt;=14",'Tickets Recebidos'!L:L,"&gt;=8",'Tickets Recebidos'!B:B,"="&amp;B6)</f>
        <v>0</v>
      </c>
      <c r="E6" s="47">
        <f ca="1">COUNTIFS('Tickets Recebidos'!L:L,"&gt;=15",'Tickets Recebidos'!B:B,"="&amp;B6)</f>
        <v>1</v>
      </c>
      <c r="F6" s="41">
        <f ca="1">SUM(C6:E6)</f>
        <v>2</v>
      </c>
      <c r="N6" s="38" t="str">
        <f>B6</f>
        <v>EX7</v>
      </c>
      <c r="O6" s="138">
        <f ca="1">COUNTIFS('Tickets Recebidos'!Q:Q,"",'Tickets Recebidos'!J:J,"=SR",'Tickets Recebidos'!O:O,"&lt;=1",'Tickets Recebidos'!B:B,"="&amp;N6)+COUNTIFS('Tickets Recebidos'!Q:Q,"=1",'Tickets Recebidos'!J:J,"=SR",'Tickets Recebidos'!O:O,"&lt;=2",'Tickets Recebidos'!B:B,"="&amp;N6)+COUNTIFS('Tickets Recebidos'!Q:Q,"=6",'Tickets Recebidos'!J:J,"=SR",'Tickets Recebidos'!O:O,"&lt;=3",'Tickets Recebidos'!B:B,"="&amp;N6)+COUNTIFS('Tickets Recebidos'!Q:Q,"=7",'Tickets Recebidos'!J:J,"=SR",'Tickets Recebidos'!O:O,"&lt;=3",'Tickets Recebidos'!B:B,"="&amp;N6)</f>
        <v>0</v>
      </c>
      <c r="P6" s="71">
        <f ca="1">COUNTIFS('Tickets Recebidos'!Q:Q,"",'Tickets Recebidos'!J:J,"=SR",'Tickets Recebidos'!O:O,"&gt;=2",'Tickets Recebidos'!B:B,"="&amp;N6)+COUNTIFS('Tickets Recebidos'!Q:Q,"=1",'Tickets Recebidos'!J:J,"=SR",'Tickets Recebidos'!O:O,"&gt;=3",'Tickets Recebidos'!B:B,"="&amp;N6)+COUNTIFS('Tickets Recebidos'!Q:Q,"=6",'Tickets Recebidos'!J:J,"=SR",'Tickets Recebidos'!O:O,"&gt;=4",'Tickets Recebidos'!B:B,"="&amp;N6)+COUNTIFS('Tickets Recebidos'!Q:Q,"=7",'Tickets Recebidos'!J:J,"=SR",'Tickets Recebidos'!O:O,"&gt;=4",'Tickets Recebidos'!B:B,"="&amp;N6)</f>
        <v>0</v>
      </c>
      <c r="Q6" s="41">
        <f ca="1">SUM(O6:P6)</f>
        <v>0</v>
      </c>
      <c r="R6" s="2"/>
      <c r="S6" s="2"/>
      <c r="T6" s="2"/>
      <c r="U6" s="2"/>
      <c r="V6" s="2"/>
    </row>
    <row r="7" spans="1:23" ht="12.75" customHeight="1">
      <c r="B7" s="27" t="str">
        <f>Geral!B7</f>
        <v>EX1</v>
      </c>
      <c r="C7" s="5">
        <f ca="1">COUNTIFS('Tickets Recebidos'!L:L,"&lt;=7",'Tickets Recebidos'!B:B,"="&amp;B7)</f>
        <v>0</v>
      </c>
      <c r="D7" s="5">
        <f ca="1">COUNTIFS('Tickets Recebidos'!L:L,"&lt;=14",'Tickets Recebidos'!L:L,"&gt;=8",'Tickets Recebidos'!B:B,"="&amp;B7)</f>
        <v>0</v>
      </c>
      <c r="E7" s="14">
        <f ca="1">COUNTIFS('Tickets Recebidos'!L:L,"&gt;=15",'Tickets Recebidos'!B:B,"="&amp;B7)</f>
        <v>5</v>
      </c>
      <c r="F7" s="5">
        <f t="shared" ref="F7:F19" ca="1" si="0">SUM(C7:E7)</f>
        <v>5</v>
      </c>
      <c r="N7" s="27" t="str">
        <f t="shared" ref="N7:N18" si="1">B7</f>
        <v>EX1</v>
      </c>
      <c r="O7" s="5">
        <f ca="1">COUNTIFS('Tickets Recebidos'!Q:Q,"",'Tickets Recebidos'!J:J,"=SR",'Tickets Recebidos'!O:O,"&lt;=1",'Tickets Recebidos'!B:B,"="&amp;N7)+COUNTIFS('Tickets Recebidos'!Q:Q,"=1",'Tickets Recebidos'!J:J,"=SR",'Tickets Recebidos'!O:O,"&lt;=2",'Tickets Recebidos'!B:B,"="&amp;N7)+COUNTIFS('Tickets Recebidos'!Q:Q,"=6",'Tickets Recebidos'!J:J,"=SR",'Tickets Recebidos'!O:O,"&lt;=3",'Tickets Recebidos'!B:B,"="&amp;N7)+COUNTIFS('Tickets Recebidos'!Q:Q,"=7",'Tickets Recebidos'!J:J,"=SR",'Tickets Recebidos'!O:O,"&lt;=3",'Tickets Recebidos'!B:B,"="&amp;N7)</f>
        <v>0</v>
      </c>
      <c r="P7" s="24">
        <f ca="1">COUNTIFS('Tickets Recebidos'!Q:Q,"",'Tickets Recebidos'!J:J,"=SR",'Tickets Recebidos'!O:O,"&gt;=2",'Tickets Recebidos'!B:B,"="&amp;N7)+COUNTIFS('Tickets Recebidos'!Q:Q,"=1",'Tickets Recebidos'!J:J,"=SR",'Tickets Recebidos'!O:O,"&gt;=3",'Tickets Recebidos'!B:B,"="&amp;N7)+COUNTIFS('Tickets Recebidos'!Q:Q,"=6",'Tickets Recebidos'!J:J,"=SR",'Tickets Recebidos'!O:O,"&gt;=4",'Tickets Recebidos'!B:B,"="&amp;N7)+COUNTIFS('Tickets Recebidos'!Q:Q,"=7",'Tickets Recebidos'!J:J,"=SR",'Tickets Recebidos'!O:O,"&gt;=4",'Tickets Recebidos'!B:B,"="&amp;N7)</f>
        <v>0</v>
      </c>
      <c r="Q7" s="5">
        <f t="shared" ref="Q7:Q14" ca="1" si="2">SUM(O7:P7)</f>
        <v>0</v>
      </c>
      <c r="R7" s="2"/>
      <c r="S7" s="2"/>
      <c r="T7" s="2"/>
      <c r="U7" s="2"/>
      <c r="V7" s="2"/>
    </row>
    <row r="8" spans="1:23" ht="12.75" customHeight="1">
      <c r="B8" s="38" t="str">
        <f>Geral!B8</f>
        <v>EX4</v>
      </c>
      <c r="C8" s="39">
        <f ca="1">COUNTIFS('Tickets Recebidos'!L:L,"&lt;=7",'Tickets Recebidos'!B:B,"="&amp;B8)</f>
        <v>0</v>
      </c>
      <c r="D8" s="39">
        <f ca="1">COUNTIFS('Tickets Recebidos'!L:L,"&lt;=14",'Tickets Recebidos'!L:L,"&gt;=8",'Tickets Recebidos'!B:B,"="&amp;B8)</f>
        <v>0</v>
      </c>
      <c r="E8" s="40">
        <f ca="1">COUNTIFS('Tickets Recebidos'!L:L,"&gt;=15",'Tickets Recebidos'!B:B,"="&amp;B8)</f>
        <v>3</v>
      </c>
      <c r="F8" s="39">
        <f t="shared" ca="1" si="0"/>
        <v>3</v>
      </c>
      <c r="N8" s="38" t="str">
        <f t="shared" si="1"/>
        <v>EX4</v>
      </c>
      <c r="O8" s="39">
        <f ca="1">COUNTIFS('Tickets Recebidos'!Q:Q,"",'Tickets Recebidos'!J:J,"=SR",'Tickets Recebidos'!O:O,"&lt;=1",'Tickets Recebidos'!B:B,"="&amp;N8)+COUNTIFS('Tickets Recebidos'!Q:Q,"=1",'Tickets Recebidos'!J:J,"=SR",'Tickets Recebidos'!O:O,"&lt;=2",'Tickets Recebidos'!B:B,"="&amp;N8)+COUNTIFS('Tickets Recebidos'!Q:Q,"=6",'Tickets Recebidos'!J:J,"=SR",'Tickets Recebidos'!O:O,"&lt;=3",'Tickets Recebidos'!B:B,"="&amp;N8)+COUNTIFS('Tickets Recebidos'!Q:Q,"=7",'Tickets Recebidos'!J:J,"=SR",'Tickets Recebidos'!O:O,"&lt;=3",'Tickets Recebidos'!B:B,"="&amp;N8)</f>
        <v>0</v>
      </c>
      <c r="P8" s="40">
        <f ca="1">COUNTIFS('Tickets Recebidos'!Q:Q,"",'Tickets Recebidos'!J:J,"=SR",'Tickets Recebidos'!O:O,"&gt;=2",'Tickets Recebidos'!B:B,"="&amp;N8)+COUNTIFS('Tickets Recebidos'!Q:Q,"=1",'Tickets Recebidos'!J:J,"=SR",'Tickets Recebidos'!O:O,"&gt;=3",'Tickets Recebidos'!B:B,"="&amp;N8)+COUNTIFS('Tickets Recebidos'!Q:Q,"=6",'Tickets Recebidos'!J:J,"=SR",'Tickets Recebidos'!O:O,"&gt;=4",'Tickets Recebidos'!B:B,"="&amp;N8)+COUNTIFS('Tickets Recebidos'!Q:Q,"=7",'Tickets Recebidos'!J:J,"=SR",'Tickets Recebidos'!O:O,"&gt;=4",'Tickets Recebidos'!B:B,"="&amp;N8)</f>
        <v>0</v>
      </c>
      <c r="Q8" s="39">
        <f t="shared" ca="1" si="2"/>
        <v>0</v>
      </c>
      <c r="R8" s="2"/>
      <c r="S8" s="2"/>
      <c r="T8" s="2"/>
      <c r="U8" s="2"/>
      <c r="V8" s="2"/>
    </row>
    <row r="9" spans="1:23" ht="12.75" customHeight="1">
      <c r="B9" s="27" t="str">
        <f>Geral!B9</f>
        <v>EX6</v>
      </c>
      <c r="C9" s="5">
        <f ca="1">COUNTIFS('Tickets Recebidos'!L:L,"&lt;=7",'Tickets Recebidos'!B:B,"="&amp;B9)</f>
        <v>1</v>
      </c>
      <c r="D9" s="5">
        <f ca="1">COUNTIFS('Tickets Recebidos'!L:L,"&lt;=14",'Tickets Recebidos'!L:L,"&gt;=8",'Tickets Recebidos'!B:B,"="&amp;B9)</f>
        <v>0</v>
      </c>
      <c r="E9" s="14">
        <f ca="1">COUNTIFS('Tickets Recebidos'!L:L,"&gt;=15",'Tickets Recebidos'!B:B,"="&amp;B9)</f>
        <v>1</v>
      </c>
      <c r="F9" s="5">
        <f t="shared" ca="1" si="0"/>
        <v>2</v>
      </c>
      <c r="N9" s="27" t="str">
        <f t="shared" si="1"/>
        <v>EX6</v>
      </c>
      <c r="O9" s="5">
        <f ca="1">COUNTIFS('Tickets Recebidos'!Q:Q,"",'Tickets Recebidos'!J:J,"=SR",'Tickets Recebidos'!O:O,"&lt;=1",'Tickets Recebidos'!B:B,"="&amp;N9)+COUNTIFS('Tickets Recebidos'!Q:Q,"=1",'Tickets Recebidos'!J:J,"=SR",'Tickets Recebidos'!O:O,"&lt;=2",'Tickets Recebidos'!B:B,"="&amp;N9)+COUNTIFS('Tickets Recebidos'!Q:Q,"=6",'Tickets Recebidos'!J:J,"=SR",'Tickets Recebidos'!O:O,"&lt;=3",'Tickets Recebidos'!B:B,"="&amp;N9)+COUNTIFS('Tickets Recebidos'!Q:Q,"=7",'Tickets Recebidos'!J:J,"=SR",'Tickets Recebidos'!O:O,"&lt;=3",'Tickets Recebidos'!B:B,"="&amp;N9)</f>
        <v>0</v>
      </c>
      <c r="P9" s="14">
        <f ca="1">COUNTIFS('Tickets Recebidos'!Q:Q,"",'Tickets Recebidos'!J:J,"=SR",'Tickets Recebidos'!O:O,"&gt;=2",'Tickets Recebidos'!B:B,"="&amp;N9)+COUNTIFS('Tickets Recebidos'!Q:Q,"=1",'Tickets Recebidos'!J:J,"=SR",'Tickets Recebidos'!O:O,"&gt;=3",'Tickets Recebidos'!B:B,"="&amp;N9)+COUNTIFS('Tickets Recebidos'!Q:Q,"=6",'Tickets Recebidos'!J:J,"=SR",'Tickets Recebidos'!O:O,"&gt;=4",'Tickets Recebidos'!B:B,"="&amp;N9)+COUNTIFS('Tickets Recebidos'!Q:Q,"=7",'Tickets Recebidos'!J:J,"=SR",'Tickets Recebidos'!O:O,"&gt;=4",'Tickets Recebidos'!B:B,"="&amp;N9)</f>
        <v>2</v>
      </c>
      <c r="Q9" s="5">
        <f t="shared" ca="1" si="2"/>
        <v>2</v>
      </c>
      <c r="R9" s="2"/>
      <c r="S9" s="2"/>
      <c r="T9" s="2"/>
      <c r="U9" s="2"/>
      <c r="V9" s="2"/>
    </row>
    <row r="10" spans="1:23" ht="12.75" customHeight="1">
      <c r="B10" s="38" t="str">
        <f>Geral!B10</f>
        <v>EX2</v>
      </c>
      <c r="C10" s="39">
        <f ca="1">COUNTIFS('Tickets Recebidos'!L:L,"&lt;=7",'Tickets Recebidos'!B:B,"="&amp;B10)</f>
        <v>0</v>
      </c>
      <c r="D10" s="39">
        <f ca="1">COUNTIFS('Tickets Recebidos'!L:L,"&lt;=14",'Tickets Recebidos'!L:L,"&gt;=8",'Tickets Recebidos'!B:B,"="&amp;B10)</f>
        <v>0</v>
      </c>
      <c r="E10" s="40">
        <f ca="1">COUNTIFS('Tickets Recebidos'!L:L,"&gt;=15",'Tickets Recebidos'!B:B,"="&amp;B10)</f>
        <v>1</v>
      </c>
      <c r="F10" s="39">
        <f t="shared" ca="1" si="0"/>
        <v>1</v>
      </c>
      <c r="N10" s="38" t="str">
        <f t="shared" si="1"/>
        <v>EX2</v>
      </c>
      <c r="O10" s="39">
        <f ca="1">COUNTIFS('Tickets Recebidos'!Q:Q,"",'Tickets Recebidos'!J:J,"=SR",'Tickets Recebidos'!O:O,"&lt;=1",'Tickets Recebidos'!B:B,"="&amp;N10)+COUNTIFS('Tickets Recebidos'!Q:Q,"=1",'Tickets Recebidos'!J:J,"=SR",'Tickets Recebidos'!O:O,"&lt;=2",'Tickets Recebidos'!B:B,"="&amp;N10)+COUNTIFS('Tickets Recebidos'!Q:Q,"=6",'Tickets Recebidos'!J:J,"=SR",'Tickets Recebidos'!O:O,"&lt;=3",'Tickets Recebidos'!B:B,"="&amp;N10)+COUNTIFS('Tickets Recebidos'!Q:Q,"=7",'Tickets Recebidos'!J:J,"=SR",'Tickets Recebidos'!O:O,"&lt;=3",'Tickets Recebidos'!B:B,"="&amp;N10)</f>
        <v>0</v>
      </c>
      <c r="P10" s="40">
        <f ca="1">COUNTIFS('Tickets Recebidos'!Q:Q,"",'Tickets Recebidos'!J:J,"=SR",'Tickets Recebidos'!O:O,"&gt;=2",'Tickets Recebidos'!B:B,"="&amp;N10)+COUNTIFS('Tickets Recebidos'!Q:Q,"=1",'Tickets Recebidos'!J:J,"=SR",'Tickets Recebidos'!O:O,"&gt;=3",'Tickets Recebidos'!B:B,"="&amp;N10)+COUNTIFS('Tickets Recebidos'!Q:Q,"=6",'Tickets Recebidos'!J:J,"=SR",'Tickets Recebidos'!O:O,"&gt;=4",'Tickets Recebidos'!B:B,"="&amp;N10)+COUNTIFS('Tickets Recebidos'!Q:Q,"=7",'Tickets Recebidos'!J:J,"=SR",'Tickets Recebidos'!O:O,"&gt;=4",'Tickets Recebidos'!B:B,"="&amp;N10)</f>
        <v>1</v>
      </c>
      <c r="Q10" s="39">
        <f t="shared" ca="1" si="2"/>
        <v>1</v>
      </c>
      <c r="R10" s="2"/>
      <c r="S10" s="2"/>
      <c r="T10" s="2"/>
      <c r="U10" s="2"/>
      <c r="V10" s="2"/>
    </row>
    <row r="11" spans="1:23" ht="12.75" customHeight="1">
      <c r="B11" s="27" t="str">
        <f>Geral!B11</f>
        <v>EX3</v>
      </c>
      <c r="C11" s="5">
        <f ca="1">COUNTIFS('Tickets Recebidos'!L:L,"&lt;=7",'Tickets Recebidos'!B:B,"="&amp;B11)</f>
        <v>0</v>
      </c>
      <c r="D11" s="5">
        <f ca="1">COUNTIFS('Tickets Recebidos'!L:L,"&lt;=14",'Tickets Recebidos'!L:L,"&gt;=8",'Tickets Recebidos'!B:B,"="&amp;B11)</f>
        <v>0</v>
      </c>
      <c r="E11" s="14">
        <f ca="1">COUNTIFS('Tickets Recebidos'!L:L,"&gt;=15",'Tickets Recebidos'!B:B,"="&amp;B11)</f>
        <v>5</v>
      </c>
      <c r="F11" s="5">
        <f t="shared" ca="1" si="0"/>
        <v>5</v>
      </c>
      <c r="N11" s="27" t="str">
        <f t="shared" si="1"/>
        <v>EX3</v>
      </c>
      <c r="O11" s="5">
        <f ca="1">COUNTIFS('Tickets Recebidos'!Q:Q,"",'Tickets Recebidos'!J:J,"=SR",'Tickets Recebidos'!O:O,"&lt;=1",'Tickets Recebidos'!B:B,"="&amp;N11)+COUNTIFS('Tickets Recebidos'!Q:Q,"=1",'Tickets Recebidos'!J:J,"=SR",'Tickets Recebidos'!O:O,"&lt;=2",'Tickets Recebidos'!B:B,"="&amp;N11)+COUNTIFS('Tickets Recebidos'!Q:Q,"=6",'Tickets Recebidos'!J:J,"=SR",'Tickets Recebidos'!O:O,"&lt;=3",'Tickets Recebidos'!B:B,"="&amp;N11)+COUNTIFS('Tickets Recebidos'!Q:Q,"=7",'Tickets Recebidos'!J:J,"=SR",'Tickets Recebidos'!O:O,"&lt;=3",'Tickets Recebidos'!B:B,"="&amp;N11)</f>
        <v>0</v>
      </c>
      <c r="P11" s="14">
        <f ca="1">COUNTIFS('Tickets Recebidos'!Q:Q,"",'Tickets Recebidos'!J:J,"=SR",'Tickets Recebidos'!O:O,"&gt;=2",'Tickets Recebidos'!B:B,"="&amp;N11)+COUNTIFS('Tickets Recebidos'!Q:Q,"=1",'Tickets Recebidos'!J:J,"=SR",'Tickets Recebidos'!O:O,"&gt;=3",'Tickets Recebidos'!B:B,"="&amp;N11)+COUNTIFS('Tickets Recebidos'!Q:Q,"=6",'Tickets Recebidos'!J:J,"=SR",'Tickets Recebidos'!O:O,"&gt;=4",'Tickets Recebidos'!B:B,"="&amp;N11)+COUNTIFS('Tickets Recebidos'!Q:Q,"=7",'Tickets Recebidos'!J:J,"=SR",'Tickets Recebidos'!O:O,"&gt;=4",'Tickets Recebidos'!B:B,"="&amp;N11)</f>
        <v>1</v>
      </c>
      <c r="Q11" s="5">
        <f t="shared" ca="1" si="2"/>
        <v>1</v>
      </c>
      <c r="R11" s="2"/>
      <c r="S11" s="2"/>
      <c r="T11" s="2"/>
      <c r="U11" s="2"/>
      <c r="V11" s="2"/>
    </row>
    <row r="12" spans="1:23" ht="12.75" customHeight="1">
      <c r="B12" s="38" t="str">
        <f>Geral!B12</f>
        <v>EX5</v>
      </c>
      <c r="C12" s="39">
        <f ca="1">COUNTIFS('Tickets Recebidos'!L:L,"&lt;=7",'Tickets Recebidos'!B:B,"="&amp;B12)</f>
        <v>0</v>
      </c>
      <c r="D12" s="39">
        <f ca="1">COUNTIFS('Tickets Recebidos'!L:L,"&lt;=14",'Tickets Recebidos'!L:L,"&gt;=8",'Tickets Recebidos'!B:B,"="&amp;B12)</f>
        <v>0</v>
      </c>
      <c r="E12" s="40">
        <f ca="1">COUNTIFS('Tickets Recebidos'!L:L,"&gt;=15",'Tickets Recebidos'!B:B,"="&amp;B12)</f>
        <v>3</v>
      </c>
      <c r="F12" s="39">
        <f t="shared" ca="1" si="0"/>
        <v>3</v>
      </c>
      <c r="N12" s="38" t="str">
        <f t="shared" si="1"/>
        <v>EX5</v>
      </c>
      <c r="O12" s="39">
        <f ca="1">COUNTIFS('Tickets Recebidos'!Q:Q,"",'Tickets Recebidos'!J:J,"=SR",'Tickets Recebidos'!O:O,"&lt;=1",'Tickets Recebidos'!B:B,"="&amp;N12)+COUNTIFS('Tickets Recebidos'!Q:Q,"=1",'Tickets Recebidos'!J:J,"=SR",'Tickets Recebidos'!O:O,"&lt;=2",'Tickets Recebidos'!B:B,"="&amp;N12)+COUNTIFS('Tickets Recebidos'!Q:Q,"=6",'Tickets Recebidos'!J:J,"=SR",'Tickets Recebidos'!O:O,"&lt;=3",'Tickets Recebidos'!B:B,"="&amp;N12)+COUNTIFS('Tickets Recebidos'!Q:Q,"=7",'Tickets Recebidos'!J:J,"=SR",'Tickets Recebidos'!O:O,"&lt;=3",'Tickets Recebidos'!B:B,"="&amp;N12)</f>
        <v>0</v>
      </c>
      <c r="P12" s="40">
        <f ca="1">COUNTIFS('Tickets Recebidos'!Q:Q,"",'Tickets Recebidos'!J:J,"=SR",'Tickets Recebidos'!O:O,"&gt;=2",'Tickets Recebidos'!B:B,"="&amp;N12)+COUNTIFS('Tickets Recebidos'!Q:Q,"=1",'Tickets Recebidos'!J:J,"=SR",'Tickets Recebidos'!O:O,"&gt;=3",'Tickets Recebidos'!B:B,"="&amp;N12)+COUNTIFS('Tickets Recebidos'!Q:Q,"=6",'Tickets Recebidos'!J:J,"=SR",'Tickets Recebidos'!O:O,"&gt;=4",'Tickets Recebidos'!B:B,"="&amp;N12)+COUNTIFS('Tickets Recebidos'!Q:Q,"=7",'Tickets Recebidos'!J:J,"=SR",'Tickets Recebidos'!O:O,"&gt;=4",'Tickets Recebidos'!B:B,"="&amp;N12)</f>
        <v>3</v>
      </c>
      <c r="Q12" s="39">
        <f t="shared" ca="1" si="2"/>
        <v>3</v>
      </c>
      <c r="R12" s="2"/>
      <c r="S12" s="2"/>
      <c r="T12" s="2"/>
      <c r="U12" s="2"/>
      <c r="V12" s="2"/>
    </row>
    <row r="13" spans="1:23" ht="12.75" customHeight="1">
      <c r="B13" s="27" t="str">
        <f>Geral!B13</f>
        <v>EX8</v>
      </c>
      <c r="C13" s="5">
        <f ca="1">COUNTIFS('Tickets Recebidos'!L:L,"&lt;=7",'Tickets Recebidos'!B:B,"="&amp;B13)</f>
        <v>0</v>
      </c>
      <c r="D13" s="5">
        <f ca="1">COUNTIFS('Tickets Recebidos'!L:L,"&lt;=14",'Tickets Recebidos'!L:L,"&gt;=8",'Tickets Recebidos'!B:B,"="&amp;B13)</f>
        <v>0</v>
      </c>
      <c r="E13" s="14">
        <f ca="1">COUNTIFS('Tickets Recebidos'!L:L,"&gt;=15",'Tickets Recebidos'!B:B,"="&amp;B13)</f>
        <v>0</v>
      </c>
      <c r="F13" s="5">
        <f t="shared" ca="1" si="0"/>
        <v>0</v>
      </c>
      <c r="N13" s="27" t="str">
        <f t="shared" si="1"/>
        <v>EX8</v>
      </c>
      <c r="O13" s="5">
        <f ca="1">COUNTIFS('Tickets Recebidos'!Q:Q,"",'Tickets Recebidos'!J:J,"=SR",'Tickets Recebidos'!O:O,"&lt;=1",'Tickets Recebidos'!B:B,"="&amp;N13)+COUNTIFS('Tickets Recebidos'!Q:Q,"=1",'Tickets Recebidos'!J:J,"=SR",'Tickets Recebidos'!O:O,"&lt;=2",'Tickets Recebidos'!B:B,"="&amp;N13)+COUNTIFS('Tickets Recebidos'!Q:Q,"=6",'Tickets Recebidos'!J:J,"=SR",'Tickets Recebidos'!O:O,"&lt;=3",'Tickets Recebidos'!B:B,"="&amp;N13)+COUNTIFS('Tickets Recebidos'!Q:Q,"=7",'Tickets Recebidos'!J:J,"=SR",'Tickets Recebidos'!O:O,"&lt;=3",'Tickets Recebidos'!B:B,"="&amp;N13)</f>
        <v>0</v>
      </c>
      <c r="P13" s="14">
        <f ca="1">COUNTIFS('Tickets Recebidos'!Q:Q,"",'Tickets Recebidos'!J:J,"=SR",'Tickets Recebidos'!O:O,"&gt;=2",'Tickets Recebidos'!B:B,"="&amp;N13)+COUNTIFS('Tickets Recebidos'!Q:Q,"=1",'Tickets Recebidos'!J:J,"=SR",'Tickets Recebidos'!O:O,"&gt;=3",'Tickets Recebidos'!B:B,"="&amp;N13)+COUNTIFS('Tickets Recebidos'!Q:Q,"=6",'Tickets Recebidos'!J:J,"=SR",'Tickets Recebidos'!O:O,"&gt;=4",'Tickets Recebidos'!B:B,"="&amp;N13)+COUNTIFS('Tickets Recebidos'!Q:Q,"=7",'Tickets Recebidos'!J:J,"=SR",'Tickets Recebidos'!O:O,"&gt;=4",'Tickets Recebidos'!B:B,"="&amp;N13)</f>
        <v>0</v>
      </c>
      <c r="Q13" s="5">
        <f t="shared" ca="1" si="2"/>
        <v>0</v>
      </c>
      <c r="R13" s="2"/>
      <c r="S13" s="2"/>
      <c r="T13" s="2"/>
      <c r="U13" s="2"/>
      <c r="V13" s="2"/>
    </row>
    <row r="14" spans="1:23" ht="12.75" customHeight="1">
      <c r="B14" s="38" t="str">
        <f>Geral!B14</f>
        <v>-</v>
      </c>
      <c r="C14" s="39">
        <f ca="1">COUNTIFS('Tickets Recebidos'!L:L,"&lt;=7",'Tickets Recebidos'!B:B,"="&amp;B14)</f>
        <v>0</v>
      </c>
      <c r="D14" s="39">
        <f ca="1">COUNTIFS('Tickets Recebidos'!L:L,"&lt;=14",'Tickets Recebidos'!L:L,"&gt;=8",'Tickets Recebidos'!B:B,"="&amp;B14)</f>
        <v>0</v>
      </c>
      <c r="E14" s="40">
        <f ca="1">COUNTIFS('Tickets Recebidos'!L:L,"&gt;=15",'Tickets Recebidos'!B:B,"="&amp;B14)</f>
        <v>0</v>
      </c>
      <c r="F14" s="39">
        <f t="shared" ca="1" si="0"/>
        <v>0</v>
      </c>
      <c r="N14" s="38" t="str">
        <f t="shared" si="1"/>
        <v>-</v>
      </c>
      <c r="O14" s="39">
        <f ca="1">COUNTIFS('Tickets Recebidos'!Q:Q,"",'Tickets Recebidos'!J:J,"=SR",'Tickets Recebidos'!O:O,"&lt;=1",'Tickets Recebidos'!B:B,"="&amp;N14)+COUNTIFS('Tickets Recebidos'!Q:Q,"=1",'Tickets Recebidos'!J:J,"=SR",'Tickets Recebidos'!O:O,"&lt;=2",'Tickets Recebidos'!B:B,"="&amp;N14)+COUNTIFS('Tickets Recebidos'!Q:Q,"=6",'Tickets Recebidos'!J:J,"=SR",'Tickets Recebidos'!O:O,"&lt;=3",'Tickets Recebidos'!B:B,"="&amp;N14)+COUNTIFS('Tickets Recebidos'!Q:Q,"=7",'Tickets Recebidos'!J:J,"=SR",'Tickets Recebidos'!O:O,"&lt;=3",'Tickets Recebidos'!B:B,"="&amp;N14)</f>
        <v>0</v>
      </c>
      <c r="P14" s="40">
        <f ca="1">COUNTIFS('Tickets Recebidos'!Q:Q,"",'Tickets Recebidos'!J:J,"=SR",'Tickets Recebidos'!O:O,"&gt;=2",'Tickets Recebidos'!B:B,"="&amp;N14)+COUNTIFS('Tickets Recebidos'!Q:Q,"=1",'Tickets Recebidos'!J:J,"=SR",'Tickets Recebidos'!O:O,"&gt;=3",'Tickets Recebidos'!B:B,"="&amp;N14)+COUNTIFS('Tickets Recebidos'!Q:Q,"=6",'Tickets Recebidos'!J:J,"=SR",'Tickets Recebidos'!O:O,"&gt;=4",'Tickets Recebidos'!B:B,"="&amp;N14)+COUNTIFS('Tickets Recebidos'!Q:Q,"=7",'Tickets Recebidos'!J:J,"=SR",'Tickets Recebidos'!O:O,"&gt;=4",'Tickets Recebidos'!B:B,"="&amp;N14)</f>
        <v>0</v>
      </c>
      <c r="Q14" s="39">
        <f t="shared" ca="1" si="2"/>
        <v>0</v>
      </c>
      <c r="R14" s="2"/>
      <c r="S14" s="2"/>
      <c r="T14" s="2"/>
      <c r="U14" s="2"/>
      <c r="V14" s="2"/>
    </row>
    <row r="15" spans="1:23" ht="12.75" customHeight="1">
      <c r="B15" s="27" t="str">
        <f>Geral!B15</f>
        <v>-</v>
      </c>
      <c r="C15" s="5" t="s">
        <v>8</v>
      </c>
      <c r="D15" s="5" t="s">
        <v>8</v>
      </c>
      <c r="E15" s="5" t="s">
        <v>8</v>
      </c>
      <c r="F15" s="5" t="s">
        <v>8</v>
      </c>
      <c r="N15" s="27" t="str">
        <f t="shared" si="1"/>
        <v>-</v>
      </c>
      <c r="O15" s="5" t="s">
        <v>8</v>
      </c>
      <c r="P15" s="5" t="s">
        <v>8</v>
      </c>
      <c r="Q15" s="5" t="s">
        <v>8</v>
      </c>
      <c r="R15" s="2"/>
      <c r="S15" s="2"/>
      <c r="T15" s="2"/>
      <c r="U15" s="2"/>
      <c r="V15" s="2"/>
    </row>
    <row r="16" spans="1:23" ht="12.75" customHeight="1">
      <c r="B16" s="38" t="str">
        <f>Geral!B16</f>
        <v>-</v>
      </c>
      <c r="C16" s="39" t="s">
        <v>8</v>
      </c>
      <c r="D16" s="39" t="s">
        <v>8</v>
      </c>
      <c r="E16" s="40" t="s">
        <v>8</v>
      </c>
      <c r="F16" s="39" t="s">
        <v>8</v>
      </c>
      <c r="N16" s="38" t="str">
        <f t="shared" si="1"/>
        <v>-</v>
      </c>
      <c r="O16" s="39" t="s">
        <v>8</v>
      </c>
      <c r="P16" s="40" t="s">
        <v>8</v>
      </c>
      <c r="Q16" s="39" t="s">
        <v>8</v>
      </c>
      <c r="R16" s="2"/>
      <c r="S16" s="2"/>
      <c r="T16" s="2"/>
      <c r="U16" s="2"/>
      <c r="V16" s="2"/>
    </row>
    <row r="17" spans="2:19" ht="12.75" customHeight="1">
      <c r="B17" s="27" t="str">
        <f>Geral!B17</f>
        <v>-</v>
      </c>
      <c r="C17" s="5" t="s">
        <v>8</v>
      </c>
      <c r="D17" s="5" t="s">
        <v>8</v>
      </c>
      <c r="E17" s="14" t="s">
        <v>8</v>
      </c>
      <c r="F17" s="5" t="s">
        <v>8</v>
      </c>
      <c r="N17" s="27" t="str">
        <f t="shared" si="1"/>
        <v>-</v>
      </c>
      <c r="O17" s="5" t="s">
        <v>8</v>
      </c>
      <c r="P17" s="24" t="s">
        <v>8</v>
      </c>
      <c r="Q17" s="5" t="s">
        <v>8</v>
      </c>
    </row>
    <row r="18" spans="2:19" ht="12.75" customHeight="1">
      <c r="B18" s="38" t="str">
        <f>Geral!B18</f>
        <v>-</v>
      </c>
      <c r="C18" s="39" t="s">
        <v>8</v>
      </c>
      <c r="D18" s="39" t="s">
        <v>8</v>
      </c>
      <c r="E18" s="40" t="s">
        <v>8</v>
      </c>
      <c r="F18" s="39" t="s">
        <v>8</v>
      </c>
      <c r="N18" s="38" t="str">
        <f t="shared" si="1"/>
        <v>-</v>
      </c>
      <c r="O18" s="39" t="s">
        <v>8</v>
      </c>
      <c r="P18" s="40" t="s">
        <v>8</v>
      </c>
      <c r="Q18" s="39" t="s">
        <v>8</v>
      </c>
    </row>
    <row r="19" spans="2:19" ht="12.75" customHeight="1">
      <c r="B19" s="28" t="str">
        <f>Geral!B19</f>
        <v>Total</v>
      </c>
      <c r="C19" s="29">
        <f ca="1">COUNTIFS('Tickets Recebidos'!L:L,"&lt;=7")</f>
        <v>2</v>
      </c>
      <c r="D19" s="29">
        <f ca="1">COUNTIFS('Tickets Recebidos'!L:L,"&lt;=14",'Tickets Recebidos'!L:L,"&gt;=8")</f>
        <v>0</v>
      </c>
      <c r="E19" s="87">
        <f ca="1">COUNTIFS('Tickets Recebidos'!L:L,"&gt;=15")</f>
        <v>19</v>
      </c>
      <c r="F19" s="29">
        <f t="shared" ca="1" si="0"/>
        <v>21</v>
      </c>
      <c r="N19" s="28" t="str">
        <f>B19</f>
        <v>Total</v>
      </c>
      <c r="O19" s="32">
        <f ca="1">COUNTIFS('Tickets Recebidos'!Q:Q,"",'Tickets Recebidos'!J:J,"=SR",'Tickets Recebidos'!O:O,"&lt;=1")+COUNTIFS('Tickets Recebidos'!Q:Q,"=1",'Tickets Recebidos'!J:J,"=SR",'Tickets Recebidos'!O:O,"&lt;=2")+COUNTIFS('Tickets Recebidos'!Q:Q,"=6",'Tickets Recebidos'!J:J,"=SR",'Tickets Recebidos'!O:O,"&lt;=3")+COUNTIFS('Tickets Recebidos'!Q:Q,"=7",'Tickets Recebidos'!J:J,"=SR",'Tickets Recebidos'!O:O,"&lt;=3")</f>
        <v>0</v>
      </c>
      <c r="P19" s="33">
        <f ca="1">COUNTIFS('Tickets Recebidos'!Q:Q,"",'Tickets Recebidos'!J:J,"=SR",'Tickets Recebidos'!O:O,"&gt;=2")+COUNTIFS('Tickets Recebidos'!Q:Q,"=1",'Tickets Recebidos'!J:J,"=SR",'Tickets Recebidos'!O:O,"&gt;=3")+COUNTIFS('Tickets Recebidos'!Q:Q,"=6",'Tickets Recebidos'!J:J,"=SR",'Tickets Recebidos'!O:O,"&gt;=4")+COUNTIFS('Tickets Recebidos'!Q:Q,"=7",'Tickets Recebidos'!J:J,"=SR",'Tickets Recebidos'!O:O,"&gt;=4")</f>
        <v>7</v>
      </c>
      <c r="Q19" s="29">
        <f ca="1">SUM(Q6:Q15)</f>
        <v>7</v>
      </c>
    </row>
    <row r="20" spans="2:19" ht="6.75" customHeight="1">
      <c r="N20" s="13"/>
    </row>
    <row r="21" spans="2:19" ht="18" customHeight="1">
      <c r="B21" s="194" t="s">
        <v>75</v>
      </c>
      <c r="C21" s="195"/>
      <c r="D21" s="195"/>
      <c r="E21" s="195"/>
      <c r="F21" s="214"/>
      <c r="N21" s="246" t="s">
        <v>65</v>
      </c>
      <c r="O21" s="247"/>
      <c r="P21" s="244" t="s">
        <v>66</v>
      </c>
      <c r="Q21" s="245"/>
      <c r="R21" s="2"/>
    </row>
    <row r="22" spans="2:19" ht="12.75" customHeight="1">
      <c r="B22" s="88" t="s">
        <v>0</v>
      </c>
      <c r="C22" s="6" t="s">
        <v>76</v>
      </c>
      <c r="D22" s="6" t="s">
        <v>78</v>
      </c>
      <c r="E22" s="6" t="s">
        <v>77</v>
      </c>
      <c r="F22" s="21" t="s">
        <v>2</v>
      </c>
      <c r="G22" s="18"/>
      <c r="N22" s="6" t="s">
        <v>0</v>
      </c>
      <c r="O22" s="3" t="s">
        <v>21</v>
      </c>
      <c r="P22" s="26" t="s">
        <v>7</v>
      </c>
      <c r="Q22" s="26" t="s">
        <v>10</v>
      </c>
      <c r="R22" s="16" t="s">
        <v>21</v>
      </c>
      <c r="S22" s="18"/>
    </row>
    <row r="23" spans="2:19" ht="12.75" customHeight="1">
      <c r="B23" s="74" t="str">
        <f>B6</f>
        <v>EX7</v>
      </c>
      <c r="C23" s="45">
        <f ca="1">COUNTIFS('Tickets Recebidos'!M:M,"&lt;=30",'Tickets Recebidos'!B:B,"="&amp;B23)</f>
        <v>0</v>
      </c>
      <c r="D23" s="45">
        <f ca="1">COUNTIFS('Tickets Recebidos'!M:M,"&lt;=60",'Tickets Recebidos'!M:M,"&gt;=31",'Tickets Recebidos'!B:B,"="&amp;B23)</f>
        <v>0</v>
      </c>
      <c r="E23" s="54">
        <f ca="1">COUNTIFS('Tickets Recebidos'!M:M,"&gt;=61",'Tickets Recebidos'!B:B,"="&amp;B23)</f>
        <v>0</v>
      </c>
      <c r="F23" s="37">
        <f>COUNTIFS('Tickets Recebidos'!J:J,"=RS",'Tickets Recebidos'!B:B,"="&amp;B23)</f>
        <v>0</v>
      </c>
      <c r="G23" s="58"/>
      <c r="N23" s="38" t="str">
        <f>B6</f>
        <v>EX7</v>
      </c>
      <c r="O23" s="49">
        <f ca="1">IF($P$21="Semana anterior",(COUNTIFS('Tickets Recebidos'!$D:$D,"&lt;="&amp;(TODAY()-(WEEKDAY(TODAY()+1)+1)),'Tickets Recebidos'!$D:$D,"&gt;="&amp;(TODAY()-(WEEKDAY(TODAY()+1)+1)-6),'Tickets Recebidos'!$B:$B,"="&amp;N23)),IF($P$21="Total",(COUNTIFS('Tickets Recebidos'!$B:$B,"="&amp;N23)),IF($P$21="Semana atual",(COUNTIFS('Tickets Recebidos'!$D:$D,"&lt;="&amp;TODAY(),'Tickets Recebidos'!$D:$D,"&gt;="&amp;(TODAY()-(WEEKDAY(TODAY()+1))),'Tickets Recebidos'!$B:$B,"="&amp;N23)),(COUNTIFS('Tickets Recebidos'!$D:$D,"&gt;="&amp;$P$21,'Tickets Recebidos'!$D:$D,"&lt;"&amp;EDATE($P$21,1),'Tickets Recebidos'!$B:$B,"="&amp;N23)))))</f>
        <v>0</v>
      </c>
      <c r="P23" s="50">
        <f ca="1">IF($P$21="Total",(COUNTIFS('Tickets Recebidos'!Q:Q,"",'Tickets Recebidos'!O:O,"&gt;=2",'Tickets Recebidos'!B:B,"="&amp;N23)+COUNTIFS('Tickets Recebidos'!Q:Q,"=1",'Tickets Recebidos'!O:O,"&gt;=3",'Tickets Recebidos'!B:B,"="&amp;N23)+COUNTIFS('Tickets Recebidos'!Q:Q,"=6",'Tickets Recebidos'!O:O,"&gt;=4",'Tickets Recebidos'!B:B,"="&amp;N23)+COUNTIFS('Tickets Recebidos'!Q:Q,"=7",'Tickets Recebidos'!O:O,"&gt;=4",'Tickets Recebidos'!B:B,"="&amp;N23)),IF($P$21="Semana anterior",COUNTIFS('Tickets Recebidos'!$D:$D,"&gt;="&amp;(TODAY()-(WEEKDAY(TODAY()+1)+1)-6),'Tickets Recebidos'!$D:$D,"&lt;="&amp;(TODAY()-(WEEKDAY(TODAY()+1)+1)),'Tickets Recebidos'!Q:Q,"",'Tickets Recebidos'!O:O,"&gt;=2",'Tickets Recebidos'!B:B,"="&amp;N23)+COUNTIFS('Tickets Recebidos'!$D:$D,"&gt;="&amp;(TODAY()-(WEEKDAY(TODAY()+1)+1)-6),'Tickets Recebidos'!$D:$D,"&lt;="&amp;(TODAY()-(WEEKDAY(TODAY()+1)+1)),'Tickets Recebidos'!Q:Q,"=1",'Tickets Recebidos'!O:O,"&gt;=3",'Tickets Recebidos'!B:B,"="&amp;N23)+COUNTIFS('Tickets Recebidos'!$D:$D,"&gt;="&amp;(TODAY()-(WEEKDAY(TODAY()+1)+1)-6),'Tickets Recebidos'!$D:$D,"&lt;="&amp;(TODAY()-(WEEKDAY(TODAY()+1)+1)),'Tickets Recebidos'!Q:Q,"=6",'Tickets Recebidos'!O:O,"&gt;=4",'Tickets Recebidos'!B:B,"="&amp;N23)+COUNTIFS('Tickets Recebidos'!$D:$D,"&gt;="&amp;(TODAY()-(WEEKDAY(TODAY()+1)+1)-6),'Tickets Recebidos'!$D:$D,"&lt;="&amp;(TODAY()-(WEEKDAY(TODAY()+1)+1)),'Tickets Recebidos'!Q:Q,"=7",'Tickets Recebidos'!O:O,"&gt;=4",'Tickets Recebidos'!B:B,"="&amp;N23),IF($P$21="Semana atual",COUNTIFS('Tickets Recebidos'!$D:$D,"&gt;="&amp;(TODAY()-(WEEKDAY(TODAY()+1))),'Tickets Recebidos'!$D:$D,"&lt;="&amp;(TODAY()),'Tickets Recebidos'!Q:Q,"",'Tickets Recebidos'!O:O,"&gt;=2",'Tickets Recebidos'!B:B,"="&amp;N23)+COUNTIFS('Tickets Recebidos'!$D:$D,"&gt;="&amp;(TODAY()-(WEEKDAY(TODAY()+1))),'Tickets Recebidos'!$D:$D,"&lt;="&amp;(TODAY()),'Tickets Recebidos'!Q:Q,"=1",'Tickets Recebidos'!O:O,"&gt;=3",'Tickets Recebidos'!B:B,"="&amp;N23)+COUNTIFS('Tickets Recebidos'!$D:$D,"&gt;="&amp;(TODAY()-(WEEKDAY(TODAY()+1))),'Tickets Recebidos'!$D:$D,"&lt;="&amp;(TODAY()),'Tickets Recebidos'!Q:Q,"=6",'Tickets Recebidos'!O:O,"&gt;=4",'Tickets Recebidos'!B:B,"="&amp;N23)+COUNTIFS('Tickets Recebidos'!$D:$D,"&gt;="&amp;(TODAY()-(WEEKDAY(TODAY()+1))),'Tickets Recebidos'!$D:$D,"&lt;="&amp;(TODAY()),'Tickets Recebidos'!Q:Q,"=7",'Tickets Recebidos'!O:O,"&gt;=4",'Tickets Recebidos'!B:B,"="&amp;N23),(COUNTIFS('Tickets Recebidos'!$D:$D,"&gt;="&amp;$P$21,'Tickets Recebidos'!$D:$D,"&lt;"&amp;EDATE($P$21,1),'Tickets Recebidos'!Q:Q,"",'Tickets Recebidos'!O:O,"&gt;=2",'Tickets Recebidos'!B:B,"="&amp;N23)+COUNTIFS('Tickets Recebidos'!$D:$D,"&gt;="&amp;$P$21,'Tickets Recebidos'!$D:$D,"&lt;"&amp;EDATE($P$21,1),'Tickets Recebidos'!Q:Q,"=1",'Tickets Recebidos'!O:O,"&gt;=3",'Tickets Recebidos'!B:B,"="&amp;N23)+COUNTIFS('Tickets Recebidos'!$D:$D,"&gt;="&amp;$P$21,'Tickets Recebidos'!$D:$D,"&lt;"&amp;EDATE($P$21,1),'Tickets Recebidos'!Q:Q,"=6",'Tickets Recebidos'!O:O,"&gt;=4",'Tickets Recebidos'!B:B,"="&amp;N23)+COUNTIFS('Tickets Recebidos'!$D:$D,"&gt;="&amp;$P$21,'Tickets Recebidos'!$D:$D,"&lt;"&amp;EDATE($P$21,1),'Tickets Recebidos'!Q:Q,"=7",'Tickets Recebidos'!O:O,"&gt;=4",'Tickets Recebidos'!B:B,"="&amp;N23)))))</f>
        <v>0</v>
      </c>
      <c r="Q23" s="51">
        <f ca="1">IF($P$21="Total",(COUNTIFS('Tickets Recebidos'!P:P,"&gt;14",'Tickets Recebidos'!B:B,"="&amp;N23)),IF($P$21="Semana anterior",(COUNTIFS('Tickets Recebidos'!$D:$D,"&gt;="&amp;(TODAY()-(WEEKDAY(TODAY()+1))-18),'Tickets Recebidos'!$D:$D,"&lt;="&amp;(TODAY()-(WEEKDAY(TODAY()+1))),'Tickets Recebidos'!P:P,"&gt;14",'Tickets Recebidos'!B:B,"="&amp;N23)),IF($P$21="Semana atual",(COUNTIFS('Tickets Recebidos'!$D:$D,"&gt;="&amp;(TODAY()-18),'Tickets Recebidos'!$D:$D,"&lt;="&amp;(TODAY()),'Tickets Recebidos'!P:P,"&gt;14",'Tickets Recebidos'!B:B,"="&amp;N23)),COUNTIFS('Tickets Recebidos'!$D:$D,"&gt;="&amp;$P$21,'Tickets Recebidos'!$D:$D,"&lt;"&amp;EDATE($P$21,1),'Tickets Recebidos'!P:P,"&gt;14",'Tickets Recebidos'!B:B,"="&amp;N23))))</f>
        <v>0</v>
      </c>
      <c r="R23" s="16">
        <f ca="1">IF(OR($P$21="Semana atual",$P$21="Semana anterior"),IF((O23-(P23+Q23))&lt;0,0,O23-(P23+Q23)),O23-(P23+Q23))</f>
        <v>0</v>
      </c>
      <c r="S23" s="56"/>
    </row>
    <row r="24" spans="2:19" ht="12.75" customHeight="1">
      <c r="B24" s="72" t="str">
        <f t="shared" ref="B24:B36" si="3">B7</f>
        <v>EX1</v>
      </c>
      <c r="C24" s="20">
        <f ca="1">COUNTIFS('Tickets Recebidos'!M:M,"&lt;=30",'Tickets Recebidos'!B:B,"="&amp;B24)</f>
        <v>0</v>
      </c>
      <c r="D24" s="20">
        <f ca="1">COUNTIFS('Tickets Recebidos'!M:M,"&lt;=60",'Tickets Recebidos'!M:M,"&gt;=31",'Tickets Recebidos'!B:B,"="&amp;B24)</f>
        <v>0</v>
      </c>
      <c r="E24" s="35">
        <f ca="1">COUNTIFS('Tickets Recebidos'!M:M,"&gt;=61",'Tickets Recebidos'!B:B,"="&amp;B24)</f>
        <v>1</v>
      </c>
      <c r="F24" s="20">
        <f>COUNTIFS('Tickets Recebidos'!J:J,"=RS",'Tickets Recebidos'!B:B,"="&amp;B24)</f>
        <v>1</v>
      </c>
      <c r="G24" s="18"/>
      <c r="N24" s="27" t="str">
        <f t="shared" ref="N24:N36" si="4">B7</f>
        <v>EX1</v>
      </c>
      <c r="O24" s="19">
        <f ca="1">IF($P$21="Semana anterior",(COUNTIFS('Tickets Recebidos'!$D:$D,"&lt;="&amp;(TODAY()-(WEEKDAY(TODAY()+1)+1)),'Tickets Recebidos'!$D:$D,"&gt;="&amp;(TODAY()-(WEEKDAY(TODAY()+1)+1)-6),'Tickets Recebidos'!$B:$B,"="&amp;N24)),IF($P$21="Total",(COUNTIFS('Tickets Recebidos'!$B:$B,"="&amp;N24)),IF($P$21="Semana atual",(COUNTIFS('Tickets Recebidos'!$D:$D,"&lt;="&amp;TODAY(),'Tickets Recebidos'!$D:$D,"&gt;="&amp;(TODAY()-(WEEKDAY(TODAY()+1))),'Tickets Recebidos'!$B:$B,"="&amp;N24)),(COUNTIFS('Tickets Recebidos'!$D:$D,"&gt;="&amp;$P$21,'Tickets Recebidos'!$D:$D,"&lt;"&amp;EDATE($P$21,1),'Tickets Recebidos'!$B:$B,"="&amp;N24)))))</f>
        <v>0</v>
      </c>
      <c r="P24" s="14">
        <f ca="1">IF($P$21="Total",(COUNTIFS('Tickets Recebidos'!Q:Q,"",'Tickets Recebidos'!O:O,"&gt;=2",'Tickets Recebidos'!B:B,"="&amp;N24)+COUNTIFS('Tickets Recebidos'!Q:Q,"=1",'Tickets Recebidos'!O:O,"&gt;=3",'Tickets Recebidos'!B:B,"="&amp;N24)+COUNTIFS('Tickets Recebidos'!Q:Q,"=6",'Tickets Recebidos'!O:O,"&gt;=4",'Tickets Recebidos'!B:B,"="&amp;N24)+COUNTIFS('Tickets Recebidos'!Q:Q,"=7",'Tickets Recebidos'!O:O,"&gt;=4",'Tickets Recebidos'!B:B,"="&amp;N24)),IF($P$21="Semana anterior",COUNTIFS('Tickets Recebidos'!$D:$D,"&gt;="&amp;(TODAY()-(WEEKDAY(TODAY()+1)+1)-6),'Tickets Recebidos'!$D:$D,"&lt;="&amp;(TODAY()-(WEEKDAY(TODAY()+1)+1)),'Tickets Recebidos'!Q:Q,"",'Tickets Recebidos'!O:O,"&gt;=2",'Tickets Recebidos'!B:B,"="&amp;N24)+COUNTIFS('Tickets Recebidos'!$D:$D,"&gt;="&amp;(TODAY()-(WEEKDAY(TODAY()+1)+1)-6),'Tickets Recebidos'!$D:$D,"&lt;="&amp;(TODAY()-(WEEKDAY(TODAY()+1)+1)),'Tickets Recebidos'!Q:Q,"=1",'Tickets Recebidos'!O:O,"&gt;=3",'Tickets Recebidos'!B:B,"="&amp;N24)+COUNTIFS('Tickets Recebidos'!$D:$D,"&gt;="&amp;(TODAY()-(WEEKDAY(TODAY()+1)+1)-6),'Tickets Recebidos'!$D:$D,"&lt;="&amp;(TODAY()-(WEEKDAY(TODAY()+1)+1)),'Tickets Recebidos'!Q:Q,"=6",'Tickets Recebidos'!O:O,"&gt;=4",'Tickets Recebidos'!B:B,"="&amp;N24)+COUNTIFS('Tickets Recebidos'!$D:$D,"&gt;="&amp;(TODAY()-(WEEKDAY(TODAY()+1)+1)-6),'Tickets Recebidos'!$D:$D,"&lt;="&amp;(TODAY()-(WEEKDAY(TODAY()+1)+1)),'Tickets Recebidos'!Q:Q,"=7",'Tickets Recebidos'!O:O,"&gt;=4",'Tickets Recebidos'!B:B,"="&amp;N24),IF($P$21="Semana atual",COUNTIFS('Tickets Recebidos'!$D:$D,"&gt;="&amp;(TODAY()-(WEEKDAY(TODAY()+1))),'Tickets Recebidos'!$D:$D,"&lt;="&amp;(TODAY()),'Tickets Recebidos'!Q:Q,"",'Tickets Recebidos'!O:O,"&gt;=2",'Tickets Recebidos'!B:B,"="&amp;N24)+COUNTIFS('Tickets Recebidos'!$D:$D,"&gt;="&amp;(TODAY()-(WEEKDAY(TODAY()+1))),'Tickets Recebidos'!$D:$D,"&lt;="&amp;(TODAY()),'Tickets Recebidos'!Q:Q,"=1",'Tickets Recebidos'!O:O,"&gt;=3",'Tickets Recebidos'!B:B,"="&amp;N24)+COUNTIFS('Tickets Recebidos'!$D:$D,"&gt;="&amp;(TODAY()-(WEEKDAY(TODAY()+1))),'Tickets Recebidos'!$D:$D,"&lt;="&amp;(TODAY()),'Tickets Recebidos'!Q:Q,"=6",'Tickets Recebidos'!O:O,"&gt;=4",'Tickets Recebidos'!B:B,"="&amp;N24)+COUNTIFS('Tickets Recebidos'!$D:$D,"&gt;="&amp;(TODAY()-(WEEKDAY(TODAY()+1))),'Tickets Recebidos'!$D:$D,"&lt;="&amp;(TODAY()),'Tickets Recebidos'!Q:Q,"=7",'Tickets Recebidos'!O:O,"&gt;=4",'Tickets Recebidos'!B:B,"="&amp;N24),(COUNTIFS('Tickets Recebidos'!$D:$D,"&gt;="&amp;$P$21,'Tickets Recebidos'!$D:$D,"&lt;"&amp;EDATE($P$21,1),'Tickets Recebidos'!Q:Q,"",'Tickets Recebidos'!O:O,"&gt;=2",'Tickets Recebidos'!B:B,"="&amp;N24)+COUNTIFS('Tickets Recebidos'!$D:$D,"&gt;="&amp;$P$21,'Tickets Recebidos'!$D:$D,"&lt;"&amp;EDATE($P$21,1),'Tickets Recebidos'!Q:Q,"=1",'Tickets Recebidos'!O:O,"&gt;=3",'Tickets Recebidos'!B:B,"="&amp;N24)+COUNTIFS('Tickets Recebidos'!$D:$D,"&gt;="&amp;$P$21,'Tickets Recebidos'!$D:$D,"&lt;"&amp;EDATE($P$21,1),'Tickets Recebidos'!Q:Q,"=6",'Tickets Recebidos'!O:O,"&gt;=4",'Tickets Recebidos'!B:B,"="&amp;N24)+COUNTIFS('Tickets Recebidos'!$D:$D,"&gt;="&amp;$P$21,'Tickets Recebidos'!$D:$D,"&lt;"&amp;EDATE($P$21,1),'Tickets Recebidos'!Q:Q,"=7",'Tickets Recebidos'!O:O,"&gt;=4",'Tickets Recebidos'!B:B,"="&amp;N24)))))</f>
        <v>0</v>
      </c>
      <c r="Q24" s="19">
        <f ca="1">IF($P$21="Total",(COUNTIFS('Tickets Recebidos'!P:P,"&gt;14",'Tickets Recebidos'!B:B,"="&amp;N24)),IF($P$21="Semana anterior",(COUNTIFS('Tickets Recebidos'!$D:$D,"&gt;="&amp;(TODAY()-(WEEKDAY(TODAY()+1))-18),'Tickets Recebidos'!$D:$D,"&lt;="&amp;(TODAY()-(WEEKDAY(TODAY()+1))),'Tickets Recebidos'!P:P,"&gt;14",'Tickets Recebidos'!B:B,"="&amp;N24)),IF($P$21="Semana atual",(COUNTIFS('Tickets Recebidos'!$D:$D,"&gt;="&amp;(TODAY()-18),'Tickets Recebidos'!$D:$D,"&lt;="&amp;(TODAY()),'Tickets Recebidos'!P:P,"&gt;14",'Tickets Recebidos'!B:B,"="&amp;N24)),COUNTIFS('Tickets Recebidos'!$D:$D,"&gt;="&amp;$P$21,'Tickets Recebidos'!$D:$D,"&lt;"&amp;EDATE($P$21,1),'Tickets Recebidos'!P:P,"&gt;14",'Tickets Recebidos'!B:B,"="&amp;N24))))</f>
        <v>0</v>
      </c>
      <c r="R24" s="16">
        <f t="shared" ref="R24:R36" ca="1" si="5">IF(OR($P$21="Semana atual",$P$21="Semana anterior"),IF((O24-(P24+Q24))&lt;0,0,O24-(P24+Q24)),O24-(P24+Q24))</f>
        <v>0</v>
      </c>
      <c r="S24" s="56"/>
    </row>
    <row r="25" spans="2:19" ht="12.75" customHeight="1">
      <c r="B25" s="73" t="str">
        <f t="shared" si="3"/>
        <v>EX4</v>
      </c>
      <c r="C25" s="37">
        <f ca="1">COUNTIFS('Tickets Recebidos'!M:M,"&lt;=30",'Tickets Recebidos'!B:B,"="&amp;B25)</f>
        <v>0</v>
      </c>
      <c r="D25" s="37">
        <f ca="1">COUNTIFS('Tickets Recebidos'!M:M,"&lt;=60",'Tickets Recebidos'!M:M,"&gt;=31",'Tickets Recebidos'!B:B,"="&amp;B25)</f>
        <v>0</v>
      </c>
      <c r="E25" s="52">
        <f ca="1">COUNTIFS('Tickets Recebidos'!M:M,"&gt;=61",'Tickets Recebidos'!B:B,"="&amp;B25)</f>
        <v>0</v>
      </c>
      <c r="F25" s="37">
        <f>COUNTIFS('Tickets Recebidos'!J:J,"=RS",'Tickets Recebidos'!B:B,"="&amp;B25)</f>
        <v>0</v>
      </c>
      <c r="G25" s="18"/>
      <c r="N25" s="38" t="str">
        <f t="shared" si="4"/>
        <v>EX4</v>
      </c>
      <c r="O25" s="39">
        <f ca="1">IF($P$21="Semana anterior",(COUNTIFS('Tickets Recebidos'!$D:$D,"&lt;="&amp;(TODAY()-(WEEKDAY(TODAY()+1)+1)),'Tickets Recebidos'!$D:$D,"&gt;="&amp;(TODAY()-(WEEKDAY(TODAY()+1)+1)-6),'Tickets Recebidos'!$B:$B,"="&amp;N25)),IF($P$21="Total",(COUNTIFS('Tickets Recebidos'!$B:$B,"="&amp;N25)),IF($P$21="Semana atual",(COUNTIFS('Tickets Recebidos'!$D:$D,"&lt;="&amp;TODAY(),'Tickets Recebidos'!$D:$D,"&gt;="&amp;(TODAY()-(WEEKDAY(TODAY()+1))),'Tickets Recebidos'!$B:$B,"="&amp;N25)),(COUNTIFS('Tickets Recebidos'!$D:$D,"&gt;="&amp;$P$21,'Tickets Recebidos'!$D:$D,"&lt;"&amp;EDATE($P$21,1),'Tickets Recebidos'!$B:$B,"="&amp;N25)))))</f>
        <v>0</v>
      </c>
      <c r="P25" s="40">
        <f ca="1">IF($P$21="Total",(COUNTIFS('Tickets Recebidos'!Q:Q,"",'Tickets Recebidos'!O:O,"&gt;=2",'Tickets Recebidos'!B:B,"="&amp;N25)+COUNTIFS('Tickets Recebidos'!Q:Q,"=1",'Tickets Recebidos'!O:O,"&gt;=3",'Tickets Recebidos'!B:B,"="&amp;N25)+COUNTIFS('Tickets Recebidos'!Q:Q,"=6",'Tickets Recebidos'!O:O,"&gt;=4",'Tickets Recebidos'!B:B,"="&amp;N25)+COUNTIFS('Tickets Recebidos'!Q:Q,"=7",'Tickets Recebidos'!O:O,"&gt;=4",'Tickets Recebidos'!B:B,"="&amp;N25)),IF($P$21="Semana anterior",COUNTIFS('Tickets Recebidos'!$D:$D,"&gt;="&amp;(TODAY()-(WEEKDAY(TODAY()+1)+1)-6),'Tickets Recebidos'!$D:$D,"&lt;="&amp;(TODAY()-(WEEKDAY(TODAY()+1)+1)),'Tickets Recebidos'!Q:Q,"",'Tickets Recebidos'!O:O,"&gt;=2",'Tickets Recebidos'!B:B,"="&amp;N25)+COUNTIFS('Tickets Recebidos'!$D:$D,"&gt;="&amp;(TODAY()-(WEEKDAY(TODAY()+1)+1)-6),'Tickets Recebidos'!$D:$D,"&lt;="&amp;(TODAY()-(WEEKDAY(TODAY()+1)+1)),'Tickets Recebidos'!Q:Q,"=1",'Tickets Recebidos'!O:O,"&gt;=3",'Tickets Recebidos'!B:B,"="&amp;N25)+COUNTIFS('Tickets Recebidos'!$D:$D,"&gt;="&amp;(TODAY()-(WEEKDAY(TODAY()+1)+1)-6),'Tickets Recebidos'!$D:$D,"&lt;="&amp;(TODAY()-(WEEKDAY(TODAY()+1)+1)),'Tickets Recebidos'!Q:Q,"=6",'Tickets Recebidos'!O:O,"&gt;=4",'Tickets Recebidos'!B:B,"="&amp;N25)+COUNTIFS('Tickets Recebidos'!$D:$D,"&gt;="&amp;(TODAY()-(WEEKDAY(TODAY()+1)+1)-6),'Tickets Recebidos'!$D:$D,"&lt;="&amp;(TODAY()-(WEEKDAY(TODAY()+1)+1)),'Tickets Recebidos'!Q:Q,"=7",'Tickets Recebidos'!O:O,"&gt;=4",'Tickets Recebidos'!B:B,"="&amp;N25),IF($P$21="Semana atual",COUNTIFS('Tickets Recebidos'!$D:$D,"&gt;="&amp;(TODAY()-(WEEKDAY(TODAY()+1))),'Tickets Recebidos'!$D:$D,"&lt;="&amp;(TODAY()),'Tickets Recebidos'!Q:Q,"",'Tickets Recebidos'!O:O,"&gt;=2",'Tickets Recebidos'!B:B,"="&amp;N25)+COUNTIFS('Tickets Recebidos'!$D:$D,"&gt;="&amp;(TODAY()-(WEEKDAY(TODAY()+1))),'Tickets Recebidos'!$D:$D,"&lt;="&amp;(TODAY()),'Tickets Recebidos'!Q:Q,"=1",'Tickets Recebidos'!O:O,"&gt;=3",'Tickets Recebidos'!B:B,"="&amp;N25)+COUNTIFS('Tickets Recebidos'!$D:$D,"&gt;="&amp;(TODAY()-(WEEKDAY(TODAY()+1))),'Tickets Recebidos'!$D:$D,"&lt;="&amp;(TODAY()),'Tickets Recebidos'!Q:Q,"=6",'Tickets Recebidos'!O:O,"&gt;=4",'Tickets Recebidos'!B:B,"="&amp;N25)+COUNTIFS('Tickets Recebidos'!$D:$D,"&gt;="&amp;(TODAY()-(WEEKDAY(TODAY()+1))),'Tickets Recebidos'!$D:$D,"&lt;="&amp;(TODAY()),'Tickets Recebidos'!Q:Q,"=7",'Tickets Recebidos'!O:O,"&gt;=4",'Tickets Recebidos'!B:B,"="&amp;N25),(COUNTIFS('Tickets Recebidos'!$D:$D,"&gt;="&amp;$P$21,'Tickets Recebidos'!$D:$D,"&lt;"&amp;EDATE($P$21,1),'Tickets Recebidos'!Q:Q,"",'Tickets Recebidos'!O:O,"&gt;=2",'Tickets Recebidos'!B:B,"="&amp;N25)+COUNTIFS('Tickets Recebidos'!$D:$D,"&gt;="&amp;$P$21,'Tickets Recebidos'!$D:$D,"&lt;"&amp;EDATE($P$21,1),'Tickets Recebidos'!Q:Q,"=1",'Tickets Recebidos'!O:O,"&gt;=3",'Tickets Recebidos'!B:B,"="&amp;N25)+COUNTIFS('Tickets Recebidos'!$D:$D,"&gt;="&amp;$P$21,'Tickets Recebidos'!$D:$D,"&lt;"&amp;EDATE($P$21,1),'Tickets Recebidos'!Q:Q,"=6",'Tickets Recebidos'!O:O,"&gt;=4",'Tickets Recebidos'!B:B,"="&amp;N25)+COUNTIFS('Tickets Recebidos'!$D:$D,"&gt;="&amp;$P$21,'Tickets Recebidos'!$D:$D,"&lt;"&amp;EDATE($P$21,1),'Tickets Recebidos'!Q:Q,"=7",'Tickets Recebidos'!O:O,"&gt;=4",'Tickets Recebidos'!B:B,"="&amp;N25)))))</f>
        <v>0</v>
      </c>
      <c r="Q25" s="49">
        <f ca="1">IF($P$21="Total",(COUNTIFS('Tickets Recebidos'!P:P,"&gt;14",'Tickets Recebidos'!B:B,"="&amp;N25)),IF($P$21="Semana anterior",(COUNTIFS('Tickets Recebidos'!$D:$D,"&gt;="&amp;(TODAY()-(WEEKDAY(TODAY()+1))-18),'Tickets Recebidos'!$D:$D,"&lt;="&amp;(TODAY()-(WEEKDAY(TODAY()+1))),'Tickets Recebidos'!P:P,"&gt;14",'Tickets Recebidos'!B:B,"="&amp;N25)),IF($P$21="Semana atual",(COUNTIFS('Tickets Recebidos'!$D:$D,"&gt;="&amp;(TODAY()-18),'Tickets Recebidos'!$D:$D,"&lt;="&amp;(TODAY()),'Tickets Recebidos'!P:P,"&gt;14",'Tickets Recebidos'!B:B,"="&amp;N25)),COUNTIFS('Tickets Recebidos'!$D:$D,"&gt;="&amp;$P$21,'Tickets Recebidos'!$D:$D,"&lt;"&amp;EDATE($P$21,1),'Tickets Recebidos'!P:P,"&gt;14",'Tickets Recebidos'!B:B,"="&amp;N25))))</f>
        <v>0</v>
      </c>
      <c r="R25" s="16">
        <f t="shared" ca="1" si="5"/>
        <v>0</v>
      </c>
      <c r="S25" s="56"/>
    </row>
    <row r="26" spans="2:19" ht="12.75" customHeight="1">
      <c r="B26" s="72" t="str">
        <f t="shared" si="3"/>
        <v>EX6</v>
      </c>
      <c r="C26" s="20">
        <f ca="1">COUNTIFS('Tickets Recebidos'!M:M,"&lt;=30",'Tickets Recebidos'!B:B,"="&amp;B26)</f>
        <v>0</v>
      </c>
      <c r="D26" s="20">
        <f ca="1">COUNTIFS('Tickets Recebidos'!M:M,"&lt;=60",'Tickets Recebidos'!M:M,"&gt;=31",'Tickets Recebidos'!B:B,"="&amp;B26)</f>
        <v>0</v>
      </c>
      <c r="E26" s="35">
        <f ca="1">COUNTIFS('Tickets Recebidos'!M:M,"&gt;=61",'Tickets Recebidos'!B:B,"="&amp;B26)</f>
        <v>1</v>
      </c>
      <c r="F26" s="20">
        <f>COUNTIFS('Tickets Recebidos'!J:J,"=RS",'Tickets Recebidos'!B:B,"="&amp;B26)</f>
        <v>1</v>
      </c>
      <c r="G26" s="18"/>
      <c r="N26" s="27" t="str">
        <f t="shared" si="4"/>
        <v>EX6</v>
      </c>
      <c r="O26" s="5">
        <f ca="1">IF($P$21="Semana anterior",(COUNTIFS('Tickets Recebidos'!$D:$D,"&lt;="&amp;(TODAY()-(WEEKDAY(TODAY()+1)+1)),'Tickets Recebidos'!$D:$D,"&gt;="&amp;(TODAY()-(WEEKDAY(TODAY()+1)+1)-6),'Tickets Recebidos'!$B:$B,"="&amp;N26)),IF($P$21="Total",(COUNTIFS('Tickets Recebidos'!$B:$B,"="&amp;N26)),IF($P$21="Semana atual",(COUNTIFS('Tickets Recebidos'!$D:$D,"&lt;="&amp;TODAY(),'Tickets Recebidos'!$D:$D,"&gt;="&amp;(TODAY()-(WEEKDAY(TODAY()+1))),'Tickets Recebidos'!$B:$B,"="&amp;N26)),(COUNTIFS('Tickets Recebidos'!$D:$D,"&gt;="&amp;$P$21,'Tickets Recebidos'!$D:$D,"&lt;"&amp;EDATE($P$21,1),'Tickets Recebidos'!$B:$B,"="&amp;N26)))))</f>
        <v>0</v>
      </c>
      <c r="P26" s="14">
        <f ca="1">IF($P$21="Total",(COUNTIFS('Tickets Recebidos'!Q:Q,"",'Tickets Recebidos'!O:O,"&gt;=2",'Tickets Recebidos'!B:B,"="&amp;N26)+COUNTIFS('Tickets Recebidos'!Q:Q,"=1",'Tickets Recebidos'!O:O,"&gt;=3",'Tickets Recebidos'!B:B,"="&amp;N26)+COUNTIFS('Tickets Recebidos'!Q:Q,"=6",'Tickets Recebidos'!O:O,"&gt;=4",'Tickets Recebidos'!B:B,"="&amp;N26)+COUNTIFS('Tickets Recebidos'!Q:Q,"=7",'Tickets Recebidos'!O:O,"&gt;=4",'Tickets Recebidos'!B:B,"="&amp;N26)),IF($P$21="Semana anterior",COUNTIFS('Tickets Recebidos'!$D:$D,"&gt;="&amp;(TODAY()-(WEEKDAY(TODAY()+1)+1)-6),'Tickets Recebidos'!$D:$D,"&lt;="&amp;(TODAY()-(WEEKDAY(TODAY()+1)+1)),'Tickets Recebidos'!Q:Q,"",'Tickets Recebidos'!O:O,"&gt;=2",'Tickets Recebidos'!B:B,"="&amp;N26)+COUNTIFS('Tickets Recebidos'!$D:$D,"&gt;="&amp;(TODAY()-(WEEKDAY(TODAY()+1)+1)-6),'Tickets Recebidos'!$D:$D,"&lt;="&amp;(TODAY()-(WEEKDAY(TODAY()+1)+1)),'Tickets Recebidos'!Q:Q,"=1",'Tickets Recebidos'!O:O,"&gt;=3",'Tickets Recebidos'!B:B,"="&amp;N26)+COUNTIFS('Tickets Recebidos'!$D:$D,"&gt;="&amp;(TODAY()-(WEEKDAY(TODAY()+1)+1)-6),'Tickets Recebidos'!$D:$D,"&lt;="&amp;(TODAY()-(WEEKDAY(TODAY()+1)+1)),'Tickets Recebidos'!Q:Q,"=6",'Tickets Recebidos'!O:O,"&gt;=4",'Tickets Recebidos'!B:B,"="&amp;N26)+COUNTIFS('Tickets Recebidos'!$D:$D,"&gt;="&amp;(TODAY()-(WEEKDAY(TODAY()+1)+1)-6),'Tickets Recebidos'!$D:$D,"&lt;="&amp;(TODAY()-(WEEKDAY(TODAY()+1)+1)),'Tickets Recebidos'!Q:Q,"=7",'Tickets Recebidos'!O:O,"&gt;=4",'Tickets Recebidos'!B:B,"="&amp;N26),IF($P$21="Semana atual",COUNTIFS('Tickets Recebidos'!$D:$D,"&gt;="&amp;(TODAY()-(WEEKDAY(TODAY()+1))),'Tickets Recebidos'!$D:$D,"&lt;="&amp;(TODAY()),'Tickets Recebidos'!Q:Q,"",'Tickets Recebidos'!O:O,"&gt;=2",'Tickets Recebidos'!B:B,"="&amp;N26)+COUNTIFS('Tickets Recebidos'!$D:$D,"&gt;="&amp;(TODAY()-(WEEKDAY(TODAY()+1))),'Tickets Recebidos'!$D:$D,"&lt;="&amp;(TODAY()),'Tickets Recebidos'!Q:Q,"=1",'Tickets Recebidos'!O:O,"&gt;=3",'Tickets Recebidos'!B:B,"="&amp;N26)+COUNTIFS('Tickets Recebidos'!$D:$D,"&gt;="&amp;(TODAY()-(WEEKDAY(TODAY()+1))),'Tickets Recebidos'!$D:$D,"&lt;="&amp;(TODAY()),'Tickets Recebidos'!Q:Q,"=6",'Tickets Recebidos'!O:O,"&gt;=4",'Tickets Recebidos'!B:B,"="&amp;N26)+COUNTIFS('Tickets Recebidos'!$D:$D,"&gt;="&amp;(TODAY()-(WEEKDAY(TODAY()+1))),'Tickets Recebidos'!$D:$D,"&lt;="&amp;(TODAY()),'Tickets Recebidos'!Q:Q,"=7",'Tickets Recebidos'!O:O,"&gt;=4",'Tickets Recebidos'!B:B,"="&amp;N26),(COUNTIFS('Tickets Recebidos'!$D:$D,"&gt;="&amp;$P$21,'Tickets Recebidos'!$D:$D,"&lt;"&amp;EDATE($P$21,1),'Tickets Recebidos'!Q:Q,"",'Tickets Recebidos'!O:O,"&gt;=2",'Tickets Recebidos'!B:B,"="&amp;N26)+COUNTIFS('Tickets Recebidos'!$D:$D,"&gt;="&amp;$P$21,'Tickets Recebidos'!$D:$D,"&lt;"&amp;EDATE($P$21,1),'Tickets Recebidos'!Q:Q,"=1",'Tickets Recebidos'!O:O,"&gt;=3",'Tickets Recebidos'!B:B,"="&amp;N26)+COUNTIFS('Tickets Recebidos'!$D:$D,"&gt;="&amp;$P$21,'Tickets Recebidos'!$D:$D,"&lt;"&amp;EDATE($P$21,1),'Tickets Recebidos'!Q:Q,"=6",'Tickets Recebidos'!O:O,"&gt;=4",'Tickets Recebidos'!B:B,"="&amp;N26)+COUNTIFS('Tickets Recebidos'!$D:$D,"&gt;="&amp;$P$21,'Tickets Recebidos'!$D:$D,"&lt;"&amp;EDATE($P$21,1),'Tickets Recebidos'!Q:Q,"=7",'Tickets Recebidos'!O:O,"&gt;=4",'Tickets Recebidos'!B:B,"="&amp;N26)))))</f>
        <v>0</v>
      </c>
      <c r="Q26" s="19">
        <f ca="1">IF($P$21="Total",(COUNTIFS('Tickets Recebidos'!P:P,"&gt;14",'Tickets Recebidos'!B:B,"="&amp;N26)),IF($P$21="Semana anterior",(COUNTIFS('Tickets Recebidos'!$D:$D,"&gt;="&amp;(TODAY()-(WEEKDAY(TODAY()+1))-18),'Tickets Recebidos'!$D:$D,"&lt;="&amp;(TODAY()-(WEEKDAY(TODAY()+1))),'Tickets Recebidos'!P:P,"&gt;14",'Tickets Recebidos'!B:B,"="&amp;N26)),IF($P$21="Semana atual",(COUNTIFS('Tickets Recebidos'!$D:$D,"&gt;="&amp;(TODAY()-18),'Tickets Recebidos'!$D:$D,"&lt;="&amp;(TODAY()),'Tickets Recebidos'!P:P,"&gt;14",'Tickets Recebidos'!B:B,"="&amp;N26)),COUNTIFS('Tickets Recebidos'!$D:$D,"&gt;="&amp;$P$21,'Tickets Recebidos'!$D:$D,"&lt;"&amp;EDATE($P$21,1),'Tickets Recebidos'!P:P,"&gt;14",'Tickets Recebidos'!B:B,"="&amp;N26))))</f>
        <v>0</v>
      </c>
      <c r="R26" s="16">
        <f t="shared" ca="1" si="5"/>
        <v>0</v>
      </c>
      <c r="S26" s="56"/>
    </row>
    <row r="27" spans="2:19" ht="12.75" customHeight="1">
      <c r="B27" s="73" t="str">
        <f t="shared" si="3"/>
        <v>EX2</v>
      </c>
      <c r="C27" s="37">
        <f ca="1">COUNTIFS('Tickets Recebidos'!M:M,"&lt;=30",'Tickets Recebidos'!B:B,"="&amp;B27)</f>
        <v>0</v>
      </c>
      <c r="D27" s="37">
        <f ca="1">COUNTIFS('Tickets Recebidos'!M:M,"&lt;=60",'Tickets Recebidos'!M:M,"&gt;=31",'Tickets Recebidos'!B:B,"="&amp;B27)</f>
        <v>0</v>
      </c>
      <c r="E27" s="52">
        <f ca="1">COUNTIFS('Tickets Recebidos'!M:M,"&gt;=61",'Tickets Recebidos'!B:B,"="&amp;B27)</f>
        <v>0</v>
      </c>
      <c r="F27" s="37">
        <f>COUNTIFS('Tickets Recebidos'!J:J,"=RS",'Tickets Recebidos'!B:B,"="&amp;B27)</f>
        <v>0</v>
      </c>
      <c r="G27" s="18"/>
      <c r="N27" s="38" t="str">
        <f t="shared" si="4"/>
        <v>EX2</v>
      </c>
      <c r="O27" s="39">
        <f ca="1">IF($P$21="Semana anterior",(COUNTIFS('Tickets Recebidos'!$D:$D,"&lt;="&amp;(TODAY()-(WEEKDAY(TODAY()+1)+1)),'Tickets Recebidos'!$D:$D,"&gt;="&amp;(TODAY()-(WEEKDAY(TODAY()+1)+1)-6),'Tickets Recebidos'!$B:$B,"="&amp;N27)),IF($P$21="Total",(COUNTIFS('Tickets Recebidos'!$B:$B,"="&amp;N27)),IF($P$21="Semana atual",(COUNTIFS('Tickets Recebidos'!$D:$D,"&lt;="&amp;TODAY(),'Tickets Recebidos'!$D:$D,"&gt;="&amp;(TODAY()-(WEEKDAY(TODAY()+1))),'Tickets Recebidos'!$B:$B,"="&amp;N27)),(COUNTIFS('Tickets Recebidos'!$D:$D,"&gt;="&amp;$P$21,'Tickets Recebidos'!$D:$D,"&lt;"&amp;EDATE($P$21,1),'Tickets Recebidos'!$B:$B,"="&amp;N27)))))</f>
        <v>0</v>
      </c>
      <c r="P27" s="40">
        <f ca="1">IF($P$21="Total",(COUNTIFS('Tickets Recebidos'!Q:Q,"",'Tickets Recebidos'!O:O,"&gt;=2",'Tickets Recebidos'!B:B,"="&amp;N27)+COUNTIFS('Tickets Recebidos'!Q:Q,"=1",'Tickets Recebidos'!O:O,"&gt;=3",'Tickets Recebidos'!B:B,"="&amp;N27)+COUNTIFS('Tickets Recebidos'!Q:Q,"=6",'Tickets Recebidos'!O:O,"&gt;=4",'Tickets Recebidos'!B:B,"="&amp;N27)+COUNTIFS('Tickets Recebidos'!Q:Q,"=7",'Tickets Recebidos'!O:O,"&gt;=4",'Tickets Recebidos'!B:B,"="&amp;N27)),IF($P$21="Semana anterior",COUNTIFS('Tickets Recebidos'!$D:$D,"&gt;="&amp;(TODAY()-(WEEKDAY(TODAY()+1)+1)-6),'Tickets Recebidos'!$D:$D,"&lt;="&amp;(TODAY()-(WEEKDAY(TODAY()+1)+1)),'Tickets Recebidos'!Q:Q,"",'Tickets Recebidos'!O:O,"&gt;=2",'Tickets Recebidos'!B:B,"="&amp;N27)+COUNTIFS('Tickets Recebidos'!$D:$D,"&gt;="&amp;(TODAY()-(WEEKDAY(TODAY()+1)+1)-6),'Tickets Recebidos'!$D:$D,"&lt;="&amp;(TODAY()-(WEEKDAY(TODAY()+1)+1)),'Tickets Recebidos'!Q:Q,"=1",'Tickets Recebidos'!O:O,"&gt;=3",'Tickets Recebidos'!B:B,"="&amp;N27)+COUNTIFS('Tickets Recebidos'!$D:$D,"&gt;="&amp;(TODAY()-(WEEKDAY(TODAY()+1)+1)-6),'Tickets Recebidos'!$D:$D,"&lt;="&amp;(TODAY()-(WEEKDAY(TODAY()+1)+1)),'Tickets Recebidos'!Q:Q,"=6",'Tickets Recebidos'!O:O,"&gt;=4",'Tickets Recebidos'!B:B,"="&amp;N27)+COUNTIFS('Tickets Recebidos'!$D:$D,"&gt;="&amp;(TODAY()-(WEEKDAY(TODAY()+1)+1)-6),'Tickets Recebidos'!$D:$D,"&lt;="&amp;(TODAY()-(WEEKDAY(TODAY()+1)+1)),'Tickets Recebidos'!Q:Q,"=7",'Tickets Recebidos'!O:O,"&gt;=4",'Tickets Recebidos'!B:B,"="&amp;N27),IF($P$21="Semana atual",COUNTIFS('Tickets Recebidos'!$D:$D,"&gt;="&amp;(TODAY()-(WEEKDAY(TODAY()+1))),'Tickets Recebidos'!$D:$D,"&lt;="&amp;(TODAY()),'Tickets Recebidos'!Q:Q,"",'Tickets Recebidos'!O:O,"&gt;=2",'Tickets Recebidos'!B:B,"="&amp;N27)+COUNTIFS('Tickets Recebidos'!$D:$D,"&gt;="&amp;(TODAY()-(WEEKDAY(TODAY()+1))),'Tickets Recebidos'!$D:$D,"&lt;="&amp;(TODAY()),'Tickets Recebidos'!Q:Q,"=1",'Tickets Recebidos'!O:O,"&gt;=3",'Tickets Recebidos'!B:B,"="&amp;N27)+COUNTIFS('Tickets Recebidos'!$D:$D,"&gt;="&amp;(TODAY()-(WEEKDAY(TODAY()+1))),'Tickets Recebidos'!$D:$D,"&lt;="&amp;(TODAY()),'Tickets Recebidos'!Q:Q,"=6",'Tickets Recebidos'!O:O,"&gt;=4",'Tickets Recebidos'!B:B,"="&amp;N27)+COUNTIFS('Tickets Recebidos'!$D:$D,"&gt;="&amp;(TODAY()-(WEEKDAY(TODAY()+1))),'Tickets Recebidos'!$D:$D,"&lt;="&amp;(TODAY()),'Tickets Recebidos'!Q:Q,"=7",'Tickets Recebidos'!O:O,"&gt;=4",'Tickets Recebidos'!B:B,"="&amp;N27),(COUNTIFS('Tickets Recebidos'!$D:$D,"&gt;="&amp;$P$21,'Tickets Recebidos'!$D:$D,"&lt;"&amp;EDATE($P$21,1),'Tickets Recebidos'!Q:Q,"",'Tickets Recebidos'!O:O,"&gt;=2",'Tickets Recebidos'!B:B,"="&amp;N27)+COUNTIFS('Tickets Recebidos'!$D:$D,"&gt;="&amp;$P$21,'Tickets Recebidos'!$D:$D,"&lt;"&amp;EDATE($P$21,1),'Tickets Recebidos'!Q:Q,"=1",'Tickets Recebidos'!O:O,"&gt;=3",'Tickets Recebidos'!B:B,"="&amp;N27)+COUNTIFS('Tickets Recebidos'!$D:$D,"&gt;="&amp;$P$21,'Tickets Recebidos'!$D:$D,"&lt;"&amp;EDATE($P$21,1),'Tickets Recebidos'!Q:Q,"=6",'Tickets Recebidos'!O:O,"&gt;=4",'Tickets Recebidos'!B:B,"="&amp;N27)+COUNTIFS('Tickets Recebidos'!$D:$D,"&gt;="&amp;$P$21,'Tickets Recebidos'!$D:$D,"&lt;"&amp;EDATE($P$21,1),'Tickets Recebidos'!Q:Q,"=7",'Tickets Recebidos'!O:O,"&gt;=4",'Tickets Recebidos'!B:B,"="&amp;N27)))))</f>
        <v>0</v>
      </c>
      <c r="Q27" s="49">
        <f ca="1">IF($P$21="Total",(COUNTIFS('Tickets Recebidos'!P:P,"&gt;14",'Tickets Recebidos'!B:B,"="&amp;N27)),IF($P$21="Semana anterior",(COUNTIFS('Tickets Recebidos'!$D:$D,"&gt;="&amp;(TODAY()-(WEEKDAY(TODAY()+1))-18),'Tickets Recebidos'!$D:$D,"&lt;="&amp;(TODAY()-(WEEKDAY(TODAY()+1))),'Tickets Recebidos'!P:P,"&gt;14",'Tickets Recebidos'!B:B,"="&amp;N27)),IF($P$21="Semana atual",(COUNTIFS('Tickets Recebidos'!$D:$D,"&gt;="&amp;(TODAY()-18),'Tickets Recebidos'!$D:$D,"&lt;="&amp;(TODAY()),'Tickets Recebidos'!P:P,"&gt;14",'Tickets Recebidos'!B:B,"="&amp;N27)),COUNTIFS('Tickets Recebidos'!$D:$D,"&gt;="&amp;$P$21,'Tickets Recebidos'!$D:$D,"&lt;"&amp;EDATE($P$21,1),'Tickets Recebidos'!P:P,"&gt;14",'Tickets Recebidos'!B:B,"="&amp;N27))))</f>
        <v>0</v>
      </c>
      <c r="R27" s="16">
        <f t="shared" ca="1" si="5"/>
        <v>0</v>
      </c>
      <c r="S27" s="56"/>
    </row>
    <row r="28" spans="2:19" ht="12.75" customHeight="1">
      <c r="B28" s="72" t="str">
        <f t="shared" si="3"/>
        <v>EX3</v>
      </c>
      <c r="C28" s="20">
        <f ca="1">COUNTIFS('Tickets Recebidos'!M:M,"&lt;=30",'Tickets Recebidos'!B:B,"="&amp;B28)</f>
        <v>0</v>
      </c>
      <c r="D28" s="20">
        <f ca="1">COUNTIFS('Tickets Recebidos'!M:M,"&lt;=60",'Tickets Recebidos'!M:M,"&gt;=31",'Tickets Recebidos'!B:B,"="&amp;B28)</f>
        <v>0</v>
      </c>
      <c r="E28" s="35">
        <f ca="1">COUNTIFS('Tickets Recebidos'!M:M,"&gt;=61",'Tickets Recebidos'!B:B,"="&amp;B28)</f>
        <v>0</v>
      </c>
      <c r="F28" s="20">
        <f>COUNTIFS('Tickets Recebidos'!J:J,"=RS",'Tickets Recebidos'!B:B,"="&amp;B28)</f>
        <v>0</v>
      </c>
      <c r="G28" s="18"/>
      <c r="N28" s="27" t="str">
        <f t="shared" si="4"/>
        <v>EX3</v>
      </c>
      <c r="O28" s="5">
        <f ca="1">IF($P$21="Semana anterior",(COUNTIFS('Tickets Recebidos'!$D:$D,"&lt;="&amp;(TODAY()-(WEEKDAY(TODAY()+1)+1)),'Tickets Recebidos'!$D:$D,"&gt;="&amp;(TODAY()-(WEEKDAY(TODAY()+1)+1)-6),'Tickets Recebidos'!$B:$B,"="&amp;N28)),IF($P$21="Total",(COUNTIFS('Tickets Recebidos'!$B:$B,"="&amp;N28)),IF($P$21="Semana atual",(COUNTIFS('Tickets Recebidos'!$D:$D,"&lt;="&amp;TODAY(),'Tickets Recebidos'!$D:$D,"&gt;="&amp;(TODAY()-(WEEKDAY(TODAY()+1))),'Tickets Recebidos'!$B:$B,"="&amp;N28)),(COUNTIFS('Tickets Recebidos'!$D:$D,"&gt;="&amp;$P$21,'Tickets Recebidos'!$D:$D,"&lt;"&amp;EDATE($P$21,1),'Tickets Recebidos'!$B:$B,"="&amp;N28)))))</f>
        <v>0</v>
      </c>
      <c r="P28" s="14">
        <f ca="1">IF($P$21="Total",(COUNTIFS('Tickets Recebidos'!Q:Q,"",'Tickets Recebidos'!O:O,"&gt;=2",'Tickets Recebidos'!B:B,"="&amp;N28)+COUNTIFS('Tickets Recebidos'!Q:Q,"=1",'Tickets Recebidos'!O:O,"&gt;=3",'Tickets Recebidos'!B:B,"="&amp;N28)+COUNTIFS('Tickets Recebidos'!Q:Q,"=6",'Tickets Recebidos'!O:O,"&gt;=4",'Tickets Recebidos'!B:B,"="&amp;N28)+COUNTIFS('Tickets Recebidos'!Q:Q,"=7",'Tickets Recebidos'!O:O,"&gt;=4",'Tickets Recebidos'!B:B,"="&amp;N28)),IF($P$21="Semana anterior",COUNTIFS('Tickets Recebidos'!$D:$D,"&gt;="&amp;(TODAY()-(WEEKDAY(TODAY()+1)+1)-6),'Tickets Recebidos'!$D:$D,"&lt;="&amp;(TODAY()-(WEEKDAY(TODAY()+1)+1)),'Tickets Recebidos'!Q:Q,"",'Tickets Recebidos'!O:O,"&gt;=2",'Tickets Recebidos'!B:B,"="&amp;N28)+COUNTIFS('Tickets Recebidos'!$D:$D,"&gt;="&amp;(TODAY()-(WEEKDAY(TODAY()+1)+1)-6),'Tickets Recebidos'!$D:$D,"&lt;="&amp;(TODAY()-(WEEKDAY(TODAY()+1)+1)),'Tickets Recebidos'!Q:Q,"=1",'Tickets Recebidos'!O:O,"&gt;=3",'Tickets Recebidos'!B:B,"="&amp;N28)+COUNTIFS('Tickets Recebidos'!$D:$D,"&gt;="&amp;(TODAY()-(WEEKDAY(TODAY()+1)+1)-6),'Tickets Recebidos'!$D:$D,"&lt;="&amp;(TODAY()-(WEEKDAY(TODAY()+1)+1)),'Tickets Recebidos'!Q:Q,"=6",'Tickets Recebidos'!O:O,"&gt;=4",'Tickets Recebidos'!B:B,"="&amp;N28)+COUNTIFS('Tickets Recebidos'!$D:$D,"&gt;="&amp;(TODAY()-(WEEKDAY(TODAY()+1)+1)-6),'Tickets Recebidos'!$D:$D,"&lt;="&amp;(TODAY()-(WEEKDAY(TODAY()+1)+1)),'Tickets Recebidos'!Q:Q,"=7",'Tickets Recebidos'!O:O,"&gt;=4",'Tickets Recebidos'!B:B,"="&amp;N28),IF($P$21="Semana atual",COUNTIFS('Tickets Recebidos'!$D:$D,"&gt;="&amp;(TODAY()-(WEEKDAY(TODAY()+1))),'Tickets Recebidos'!$D:$D,"&lt;="&amp;(TODAY()),'Tickets Recebidos'!Q:Q,"",'Tickets Recebidos'!O:O,"&gt;=2",'Tickets Recebidos'!B:B,"="&amp;N28)+COUNTIFS('Tickets Recebidos'!$D:$D,"&gt;="&amp;(TODAY()-(WEEKDAY(TODAY()+1))),'Tickets Recebidos'!$D:$D,"&lt;="&amp;(TODAY()),'Tickets Recebidos'!Q:Q,"=1",'Tickets Recebidos'!O:O,"&gt;=3",'Tickets Recebidos'!B:B,"="&amp;N28)+COUNTIFS('Tickets Recebidos'!$D:$D,"&gt;="&amp;(TODAY()-(WEEKDAY(TODAY()+1))),'Tickets Recebidos'!$D:$D,"&lt;="&amp;(TODAY()),'Tickets Recebidos'!Q:Q,"=6",'Tickets Recebidos'!O:O,"&gt;=4",'Tickets Recebidos'!B:B,"="&amp;N28)+COUNTIFS('Tickets Recebidos'!$D:$D,"&gt;="&amp;(TODAY()-(WEEKDAY(TODAY()+1))),'Tickets Recebidos'!$D:$D,"&lt;="&amp;(TODAY()),'Tickets Recebidos'!Q:Q,"=7",'Tickets Recebidos'!O:O,"&gt;=4",'Tickets Recebidos'!B:B,"="&amp;N28),(COUNTIFS('Tickets Recebidos'!$D:$D,"&gt;="&amp;$P$21,'Tickets Recebidos'!$D:$D,"&lt;"&amp;EDATE($P$21,1),'Tickets Recebidos'!Q:Q,"",'Tickets Recebidos'!O:O,"&gt;=2",'Tickets Recebidos'!B:B,"="&amp;N28)+COUNTIFS('Tickets Recebidos'!$D:$D,"&gt;="&amp;$P$21,'Tickets Recebidos'!$D:$D,"&lt;"&amp;EDATE($P$21,1),'Tickets Recebidos'!Q:Q,"=1",'Tickets Recebidos'!O:O,"&gt;=3",'Tickets Recebidos'!B:B,"="&amp;N28)+COUNTIFS('Tickets Recebidos'!$D:$D,"&gt;="&amp;$P$21,'Tickets Recebidos'!$D:$D,"&lt;"&amp;EDATE($P$21,1),'Tickets Recebidos'!Q:Q,"=6",'Tickets Recebidos'!O:O,"&gt;=4",'Tickets Recebidos'!B:B,"="&amp;N28)+COUNTIFS('Tickets Recebidos'!$D:$D,"&gt;="&amp;$P$21,'Tickets Recebidos'!$D:$D,"&lt;"&amp;EDATE($P$21,1),'Tickets Recebidos'!Q:Q,"=7",'Tickets Recebidos'!O:O,"&gt;=4",'Tickets Recebidos'!B:B,"="&amp;N28)))))</f>
        <v>0</v>
      </c>
      <c r="Q28" s="19">
        <f ca="1">IF($P$21="Total",(COUNTIFS('Tickets Recebidos'!P:P,"&gt;14",'Tickets Recebidos'!B:B,"="&amp;N28)),IF($P$21="Semana anterior",(COUNTIFS('Tickets Recebidos'!$D:$D,"&gt;="&amp;(TODAY()-(WEEKDAY(TODAY()+1))-18),'Tickets Recebidos'!$D:$D,"&lt;="&amp;(TODAY()-(WEEKDAY(TODAY()+1))),'Tickets Recebidos'!P:P,"&gt;14",'Tickets Recebidos'!B:B,"="&amp;N28)),IF($P$21="Semana atual",(COUNTIFS('Tickets Recebidos'!$D:$D,"&gt;="&amp;(TODAY()-18),'Tickets Recebidos'!$D:$D,"&lt;="&amp;(TODAY()),'Tickets Recebidos'!P:P,"&gt;14",'Tickets Recebidos'!B:B,"="&amp;N28)),COUNTIFS('Tickets Recebidos'!$D:$D,"&gt;="&amp;$P$21,'Tickets Recebidos'!$D:$D,"&lt;"&amp;EDATE($P$21,1),'Tickets Recebidos'!P:P,"&gt;14",'Tickets Recebidos'!B:B,"="&amp;N28))))</f>
        <v>0</v>
      </c>
      <c r="R28" s="16">
        <f t="shared" ca="1" si="5"/>
        <v>0</v>
      </c>
      <c r="S28" s="56"/>
    </row>
    <row r="29" spans="2:19" ht="12.75" customHeight="1">
      <c r="B29" s="73" t="str">
        <f t="shared" si="3"/>
        <v>EX5</v>
      </c>
      <c r="C29" s="37">
        <f ca="1">COUNTIFS('Tickets Recebidos'!M:M,"&lt;=30",'Tickets Recebidos'!B:B,"="&amp;B29)</f>
        <v>0</v>
      </c>
      <c r="D29" s="37">
        <f ca="1">COUNTIFS('Tickets Recebidos'!M:M,"&lt;=60",'Tickets Recebidos'!M:M,"&gt;=31",'Tickets Recebidos'!B:B,"="&amp;B29)</f>
        <v>0</v>
      </c>
      <c r="E29" s="52">
        <f ca="1">COUNTIFS('Tickets Recebidos'!M:M,"&gt;=61",'Tickets Recebidos'!B:B,"="&amp;B29)</f>
        <v>0</v>
      </c>
      <c r="F29" s="37">
        <f>COUNTIFS('Tickets Recebidos'!J:J,"=RS",'Tickets Recebidos'!B:B,"="&amp;B29)</f>
        <v>0</v>
      </c>
      <c r="G29" s="18"/>
      <c r="N29" s="38" t="str">
        <f t="shared" si="4"/>
        <v>EX5</v>
      </c>
      <c r="O29" s="39">
        <f ca="1">IF($P$21="Semana anterior",(COUNTIFS('Tickets Recebidos'!$D:$D,"&lt;="&amp;(TODAY()-(WEEKDAY(TODAY()+1)+1)),'Tickets Recebidos'!$D:$D,"&gt;="&amp;(TODAY()-(WEEKDAY(TODAY()+1)+1)-6),'Tickets Recebidos'!$B:$B,"="&amp;N29)),IF($P$21="Total",(COUNTIFS('Tickets Recebidos'!$B:$B,"="&amp;N29)),IF($P$21="Semana atual",(COUNTIFS('Tickets Recebidos'!$D:$D,"&lt;="&amp;TODAY(),'Tickets Recebidos'!$D:$D,"&gt;="&amp;(TODAY()-(WEEKDAY(TODAY()+1))),'Tickets Recebidos'!$B:$B,"="&amp;N29)),(COUNTIFS('Tickets Recebidos'!$D:$D,"&gt;="&amp;$P$21,'Tickets Recebidos'!$D:$D,"&lt;"&amp;EDATE($P$21,1),'Tickets Recebidos'!$B:$B,"="&amp;N29)))))</f>
        <v>0</v>
      </c>
      <c r="P29" s="40">
        <f ca="1">IF($P$21="Total",(COUNTIFS('Tickets Recebidos'!Q:Q,"",'Tickets Recebidos'!O:O,"&gt;=2",'Tickets Recebidos'!B:B,"="&amp;N29)+COUNTIFS('Tickets Recebidos'!Q:Q,"=1",'Tickets Recebidos'!O:O,"&gt;=3",'Tickets Recebidos'!B:B,"="&amp;N29)+COUNTIFS('Tickets Recebidos'!Q:Q,"=6",'Tickets Recebidos'!O:O,"&gt;=4",'Tickets Recebidos'!B:B,"="&amp;N29)+COUNTIFS('Tickets Recebidos'!Q:Q,"=7",'Tickets Recebidos'!O:O,"&gt;=4",'Tickets Recebidos'!B:B,"="&amp;N29)),IF($P$21="Semana anterior",COUNTIFS('Tickets Recebidos'!$D:$D,"&gt;="&amp;(TODAY()-(WEEKDAY(TODAY()+1)+1)-6),'Tickets Recebidos'!$D:$D,"&lt;="&amp;(TODAY()-(WEEKDAY(TODAY()+1)+1)),'Tickets Recebidos'!Q:Q,"",'Tickets Recebidos'!O:O,"&gt;=2",'Tickets Recebidos'!B:B,"="&amp;N29)+COUNTIFS('Tickets Recebidos'!$D:$D,"&gt;="&amp;(TODAY()-(WEEKDAY(TODAY()+1)+1)-6),'Tickets Recebidos'!$D:$D,"&lt;="&amp;(TODAY()-(WEEKDAY(TODAY()+1)+1)),'Tickets Recebidos'!Q:Q,"=1",'Tickets Recebidos'!O:O,"&gt;=3",'Tickets Recebidos'!B:B,"="&amp;N29)+COUNTIFS('Tickets Recebidos'!$D:$D,"&gt;="&amp;(TODAY()-(WEEKDAY(TODAY()+1)+1)-6),'Tickets Recebidos'!$D:$D,"&lt;="&amp;(TODAY()-(WEEKDAY(TODAY()+1)+1)),'Tickets Recebidos'!Q:Q,"=6",'Tickets Recebidos'!O:O,"&gt;=4",'Tickets Recebidos'!B:B,"="&amp;N29)+COUNTIFS('Tickets Recebidos'!$D:$D,"&gt;="&amp;(TODAY()-(WEEKDAY(TODAY()+1)+1)-6),'Tickets Recebidos'!$D:$D,"&lt;="&amp;(TODAY()-(WEEKDAY(TODAY()+1)+1)),'Tickets Recebidos'!Q:Q,"=7",'Tickets Recebidos'!O:O,"&gt;=4",'Tickets Recebidos'!B:B,"="&amp;N29),IF($P$21="Semana atual",COUNTIFS('Tickets Recebidos'!$D:$D,"&gt;="&amp;(TODAY()-(WEEKDAY(TODAY()+1))),'Tickets Recebidos'!$D:$D,"&lt;="&amp;(TODAY()),'Tickets Recebidos'!Q:Q,"",'Tickets Recebidos'!O:O,"&gt;=2",'Tickets Recebidos'!B:B,"="&amp;N29)+COUNTIFS('Tickets Recebidos'!$D:$D,"&gt;="&amp;(TODAY()-(WEEKDAY(TODAY()+1))),'Tickets Recebidos'!$D:$D,"&lt;="&amp;(TODAY()),'Tickets Recebidos'!Q:Q,"=1",'Tickets Recebidos'!O:O,"&gt;=3",'Tickets Recebidos'!B:B,"="&amp;N29)+COUNTIFS('Tickets Recebidos'!$D:$D,"&gt;="&amp;(TODAY()-(WEEKDAY(TODAY()+1))),'Tickets Recebidos'!$D:$D,"&lt;="&amp;(TODAY()),'Tickets Recebidos'!Q:Q,"=6",'Tickets Recebidos'!O:O,"&gt;=4",'Tickets Recebidos'!B:B,"="&amp;N29)+COUNTIFS('Tickets Recebidos'!$D:$D,"&gt;="&amp;(TODAY()-(WEEKDAY(TODAY()+1))),'Tickets Recebidos'!$D:$D,"&lt;="&amp;(TODAY()),'Tickets Recebidos'!Q:Q,"=7",'Tickets Recebidos'!O:O,"&gt;=4",'Tickets Recebidos'!B:B,"="&amp;N29),(COUNTIFS('Tickets Recebidos'!$D:$D,"&gt;="&amp;$P$21,'Tickets Recebidos'!$D:$D,"&lt;"&amp;EDATE($P$21,1),'Tickets Recebidos'!Q:Q,"",'Tickets Recebidos'!O:O,"&gt;=2",'Tickets Recebidos'!B:B,"="&amp;N29)+COUNTIFS('Tickets Recebidos'!$D:$D,"&gt;="&amp;$P$21,'Tickets Recebidos'!$D:$D,"&lt;"&amp;EDATE($P$21,1),'Tickets Recebidos'!Q:Q,"=1",'Tickets Recebidos'!O:O,"&gt;=3",'Tickets Recebidos'!B:B,"="&amp;N29)+COUNTIFS('Tickets Recebidos'!$D:$D,"&gt;="&amp;$P$21,'Tickets Recebidos'!$D:$D,"&lt;"&amp;EDATE($P$21,1),'Tickets Recebidos'!Q:Q,"=6",'Tickets Recebidos'!O:O,"&gt;=4",'Tickets Recebidos'!B:B,"="&amp;N29)+COUNTIFS('Tickets Recebidos'!$D:$D,"&gt;="&amp;$P$21,'Tickets Recebidos'!$D:$D,"&lt;"&amp;EDATE($P$21,1),'Tickets Recebidos'!Q:Q,"=7",'Tickets Recebidos'!O:O,"&gt;=4",'Tickets Recebidos'!B:B,"="&amp;N29)))))</f>
        <v>0</v>
      </c>
      <c r="Q29" s="49">
        <f ca="1">IF($P$21="Total",(COUNTIFS('Tickets Recebidos'!P:P,"&gt;14",'Tickets Recebidos'!B:B,"="&amp;N29)),IF($P$21="Semana anterior",(COUNTIFS('Tickets Recebidos'!$D:$D,"&gt;="&amp;(TODAY()-(WEEKDAY(TODAY()+1))-18),'Tickets Recebidos'!$D:$D,"&lt;="&amp;(TODAY()-(WEEKDAY(TODAY()+1))),'Tickets Recebidos'!P:P,"&gt;14",'Tickets Recebidos'!B:B,"="&amp;N29)),IF($P$21="Semana atual",(COUNTIFS('Tickets Recebidos'!$D:$D,"&gt;="&amp;(TODAY()-18),'Tickets Recebidos'!$D:$D,"&lt;="&amp;(TODAY()),'Tickets Recebidos'!P:P,"&gt;14",'Tickets Recebidos'!B:B,"="&amp;N29)),COUNTIFS('Tickets Recebidos'!$D:$D,"&gt;="&amp;$P$21,'Tickets Recebidos'!$D:$D,"&lt;"&amp;EDATE($P$21,1),'Tickets Recebidos'!P:P,"&gt;14",'Tickets Recebidos'!B:B,"="&amp;N29))))</f>
        <v>0</v>
      </c>
      <c r="R29" s="16">
        <f t="shared" ca="1" si="5"/>
        <v>0</v>
      </c>
      <c r="S29" s="56"/>
    </row>
    <row r="30" spans="2:19" ht="12.75" customHeight="1">
      <c r="B30" s="72" t="str">
        <f t="shared" si="3"/>
        <v>EX8</v>
      </c>
      <c r="C30" s="20">
        <f ca="1">COUNTIFS('Tickets Recebidos'!M:M,"&lt;=30",'Tickets Recebidos'!B:B,"="&amp;B30)</f>
        <v>0</v>
      </c>
      <c r="D30" s="20">
        <f ca="1">COUNTIFS('Tickets Recebidos'!M:M,"&lt;=60",'Tickets Recebidos'!M:M,"&gt;=31",'Tickets Recebidos'!B:B,"="&amp;B30)</f>
        <v>0</v>
      </c>
      <c r="E30" s="35">
        <f ca="1">COUNTIFS('Tickets Recebidos'!M:M,"&gt;=61",'Tickets Recebidos'!B:B,"="&amp;B30)</f>
        <v>0</v>
      </c>
      <c r="F30" s="20">
        <f>COUNTIFS('Tickets Recebidos'!J:J,"=RS",'Tickets Recebidos'!B:B,"="&amp;B30)</f>
        <v>0</v>
      </c>
      <c r="G30" s="18"/>
      <c r="N30" s="27" t="str">
        <f t="shared" si="4"/>
        <v>EX8</v>
      </c>
      <c r="O30" s="5">
        <f ca="1">IF($P$21="Semana anterior",(COUNTIFS('Tickets Recebidos'!$D:$D,"&lt;="&amp;(TODAY()-(WEEKDAY(TODAY()+1)+1)),'Tickets Recebidos'!$D:$D,"&gt;="&amp;(TODAY()-(WEEKDAY(TODAY()+1)+1)-6),'Tickets Recebidos'!$B:$B,"="&amp;N30)),IF($P$21="Total",(COUNTIFS('Tickets Recebidos'!$B:$B,"="&amp;N30)),IF($P$21="Semana atual",(COUNTIFS('Tickets Recebidos'!$D:$D,"&lt;="&amp;TODAY(),'Tickets Recebidos'!$D:$D,"&gt;="&amp;(TODAY()-(WEEKDAY(TODAY()+1))),'Tickets Recebidos'!$B:$B,"="&amp;N30)),(COUNTIFS('Tickets Recebidos'!$D:$D,"&gt;="&amp;$P$21,'Tickets Recebidos'!$D:$D,"&lt;"&amp;EDATE($P$21,1),'Tickets Recebidos'!$B:$B,"="&amp;N30)))))</f>
        <v>0</v>
      </c>
      <c r="P30" s="14">
        <f ca="1">IF($P$21="Total",(COUNTIFS('Tickets Recebidos'!Q:Q,"",'Tickets Recebidos'!O:O,"&gt;=2",'Tickets Recebidos'!B:B,"="&amp;N30)+COUNTIFS('Tickets Recebidos'!Q:Q,"=1",'Tickets Recebidos'!O:O,"&gt;=3",'Tickets Recebidos'!B:B,"="&amp;N30)+COUNTIFS('Tickets Recebidos'!Q:Q,"=6",'Tickets Recebidos'!O:O,"&gt;=4",'Tickets Recebidos'!B:B,"="&amp;N30)+COUNTIFS('Tickets Recebidos'!Q:Q,"=7",'Tickets Recebidos'!O:O,"&gt;=4",'Tickets Recebidos'!B:B,"="&amp;N30)),IF($P$21="Semana anterior",COUNTIFS('Tickets Recebidos'!$D:$D,"&gt;="&amp;(TODAY()-(WEEKDAY(TODAY()+1)+1)-6),'Tickets Recebidos'!$D:$D,"&lt;="&amp;(TODAY()-(WEEKDAY(TODAY()+1)+1)),'Tickets Recebidos'!Q:Q,"",'Tickets Recebidos'!O:O,"&gt;=2",'Tickets Recebidos'!B:B,"="&amp;N30)+COUNTIFS('Tickets Recebidos'!$D:$D,"&gt;="&amp;(TODAY()-(WEEKDAY(TODAY()+1)+1)-6),'Tickets Recebidos'!$D:$D,"&lt;="&amp;(TODAY()-(WEEKDAY(TODAY()+1)+1)),'Tickets Recebidos'!Q:Q,"=1",'Tickets Recebidos'!O:O,"&gt;=3",'Tickets Recebidos'!B:B,"="&amp;N30)+COUNTIFS('Tickets Recebidos'!$D:$D,"&gt;="&amp;(TODAY()-(WEEKDAY(TODAY()+1)+1)-6),'Tickets Recebidos'!$D:$D,"&lt;="&amp;(TODAY()-(WEEKDAY(TODAY()+1)+1)),'Tickets Recebidos'!Q:Q,"=6",'Tickets Recebidos'!O:O,"&gt;=4",'Tickets Recebidos'!B:B,"="&amp;N30)+COUNTIFS('Tickets Recebidos'!$D:$D,"&gt;="&amp;(TODAY()-(WEEKDAY(TODAY()+1)+1)-6),'Tickets Recebidos'!$D:$D,"&lt;="&amp;(TODAY()-(WEEKDAY(TODAY()+1)+1)),'Tickets Recebidos'!Q:Q,"=7",'Tickets Recebidos'!O:O,"&gt;=4",'Tickets Recebidos'!B:B,"="&amp;N30),IF($P$21="Semana atual",COUNTIFS('Tickets Recebidos'!$D:$D,"&gt;="&amp;(TODAY()-(WEEKDAY(TODAY()+1))),'Tickets Recebidos'!$D:$D,"&lt;="&amp;(TODAY()),'Tickets Recebidos'!Q:Q,"",'Tickets Recebidos'!O:O,"&gt;=2",'Tickets Recebidos'!B:B,"="&amp;N30)+COUNTIFS('Tickets Recebidos'!$D:$D,"&gt;="&amp;(TODAY()-(WEEKDAY(TODAY()+1))),'Tickets Recebidos'!$D:$D,"&lt;="&amp;(TODAY()),'Tickets Recebidos'!Q:Q,"=1",'Tickets Recebidos'!O:O,"&gt;=3",'Tickets Recebidos'!B:B,"="&amp;N30)+COUNTIFS('Tickets Recebidos'!$D:$D,"&gt;="&amp;(TODAY()-(WEEKDAY(TODAY()+1))),'Tickets Recebidos'!$D:$D,"&lt;="&amp;(TODAY()),'Tickets Recebidos'!Q:Q,"=6",'Tickets Recebidos'!O:O,"&gt;=4",'Tickets Recebidos'!B:B,"="&amp;N30)+COUNTIFS('Tickets Recebidos'!$D:$D,"&gt;="&amp;(TODAY()-(WEEKDAY(TODAY()+1))),'Tickets Recebidos'!$D:$D,"&lt;="&amp;(TODAY()),'Tickets Recebidos'!Q:Q,"=7",'Tickets Recebidos'!O:O,"&gt;=4",'Tickets Recebidos'!B:B,"="&amp;N30),(COUNTIFS('Tickets Recebidos'!$D:$D,"&gt;="&amp;$P$21,'Tickets Recebidos'!$D:$D,"&lt;"&amp;EDATE($P$21,1),'Tickets Recebidos'!Q:Q,"",'Tickets Recebidos'!O:O,"&gt;=2",'Tickets Recebidos'!B:B,"="&amp;N30)+COUNTIFS('Tickets Recebidos'!$D:$D,"&gt;="&amp;$P$21,'Tickets Recebidos'!$D:$D,"&lt;"&amp;EDATE($P$21,1),'Tickets Recebidos'!Q:Q,"=1",'Tickets Recebidos'!O:O,"&gt;=3",'Tickets Recebidos'!B:B,"="&amp;N30)+COUNTIFS('Tickets Recebidos'!$D:$D,"&gt;="&amp;$P$21,'Tickets Recebidos'!$D:$D,"&lt;"&amp;EDATE($P$21,1),'Tickets Recebidos'!Q:Q,"=6",'Tickets Recebidos'!O:O,"&gt;=4",'Tickets Recebidos'!B:B,"="&amp;N30)+COUNTIFS('Tickets Recebidos'!$D:$D,"&gt;="&amp;$P$21,'Tickets Recebidos'!$D:$D,"&lt;"&amp;EDATE($P$21,1),'Tickets Recebidos'!Q:Q,"=7",'Tickets Recebidos'!O:O,"&gt;=4",'Tickets Recebidos'!B:B,"="&amp;N30)))))</f>
        <v>0</v>
      </c>
      <c r="Q30" s="19">
        <f ca="1">IF($P$21="Total",(COUNTIFS('Tickets Recebidos'!P:P,"&gt;14",'Tickets Recebidos'!B:B,"="&amp;N30)),IF($P$21="Semana anterior",(COUNTIFS('Tickets Recebidos'!$D:$D,"&gt;="&amp;(TODAY()-(WEEKDAY(TODAY()+1))-18),'Tickets Recebidos'!$D:$D,"&lt;="&amp;(TODAY()-(WEEKDAY(TODAY()+1))),'Tickets Recebidos'!P:P,"&gt;14",'Tickets Recebidos'!B:B,"="&amp;N30)),IF($P$21="Semana atual",(COUNTIFS('Tickets Recebidos'!$D:$D,"&gt;="&amp;(TODAY()-18),'Tickets Recebidos'!$D:$D,"&lt;="&amp;(TODAY()),'Tickets Recebidos'!P:P,"&gt;14",'Tickets Recebidos'!B:B,"="&amp;N30)),COUNTIFS('Tickets Recebidos'!$D:$D,"&gt;="&amp;$P$21,'Tickets Recebidos'!$D:$D,"&lt;"&amp;EDATE($P$21,1),'Tickets Recebidos'!P:P,"&gt;14",'Tickets Recebidos'!B:B,"="&amp;N30))))</f>
        <v>0</v>
      </c>
      <c r="R30" s="16">
        <f t="shared" ca="1" si="5"/>
        <v>0</v>
      </c>
      <c r="S30" s="56"/>
    </row>
    <row r="31" spans="2:19" ht="12.75" customHeight="1">
      <c r="B31" s="73" t="str">
        <f t="shared" si="3"/>
        <v>-</v>
      </c>
      <c r="C31" s="37">
        <f ca="1">COUNTIFS('Tickets Recebidos'!M:M,"&lt;=30",'Tickets Recebidos'!B:B,"="&amp;B31)</f>
        <v>0</v>
      </c>
      <c r="D31" s="37">
        <f ca="1">COUNTIFS('Tickets Recebidos'!M:M,"&lt;=60",'Tickets Recebidos'!M:M,"&gt;=31",'Tickets Recebidos'!B:B,"="&amp;B31)</f>
        <v>0</v>
      </c>
      <c r="E31" s="52">
        <f ca="1">COUNTIFS('Tickets Recebidos'!M:M,"&gt;=61",'Tickets Recebidos'!B:B,"="&amp;B31)</f>
        <v>0</v>
      </c>
      <c r="F31" s="37">
        <f>COUNTIFS('Tickets Recebidos'!J:J,"=RS",'Tickets Recebidos'!B:B,"="&amp;B31)</f>
        <v>0</v>
      </c>
      <c r="G31" s="18"/>
      <c r="N31" s="38" t="str">
        <f t="shared" si="4"/>
        <v>-</v>
      </c>
      <c r="O31" s="39">
        <f ca="1">IF($P$21="Semana anterior",(COUNTIFS('Tickets Recebidos'!$D:$D,"&lt;="&amp;(TODAY()-(WEEKDAY(TODAY()+1)+1)),'Tickets Recebidos'!$D:$D,"&gt;="&amp;(TODAY()-(WEEKDAY(TODAY()+1)+1)-6),'Tickets Recebidos'!$B:$B,"="&amp;N31)),IF($P$21="Total",(COUNTIFS('Tickets Recebidos'!$B:$B,"="&amp;N31)),IF($P$21="Semana atual",(COUNTIFS('Tickets Recebidos'!$D:$D,"&lt;="&amp;TODAY(),'Tickets Recebidos'!$D:$D,"&gt;="&amp;(TODAY()-(WEEKDAY(TODAY()+1))),'Tickets Recebidos'!$B:$B,"="&amp;N31)),(COUNTIFS('Tickets Recebidos'!$D:$D,"&gt;="&amp;$P$21,'Tickets Recebidos'!$D:$D,"&lt;"&amp;EDATE($P$21,1),'Tickets Recebidos'!$B:$B,"="&amp;N31)))))</f>
        <v>0</v>
      </c>
      <c r="P31" s="40">
        <f ca="1">IF($P$21="Total",(COUNTIFS('Tickets Recebidos'!Q:Q,"",'Tickets Recebidos'!O:O,"&gt;=2",'Tickets Recebidos'!B:B,"="&amp;N31)+COUNTIFS('Tickets Recebidos'!Q:Q,"=1",'Tickets Recebidos'!O:O,"&gt;=3",'Tickets Recebidos'!B:B,"="&amp;N31)+COUNTIFS('Tickets Recebidos'!Q:Q,"=6",'Tickets Recebidos'!O:O,"&gt;=4",'Tickets Recebidos'!B:B,"="&amp;N31)+COUNTIFS('Tickets Recebidos'!Q:Q,"=7",'Tickets Recebidos'!O:O,"&gt;=4",'Tickets Recebidos'!B:B,"="&amp;N31)),IF($P$21="Semana anterior",COUNTIFS('Tickets Recebidos'!$D:$D,"&gt;="&amp;(TODAY()-(WEEKDAY(TODAY()+1)+1)-6),'Tickets Recebidos'!$D:$D,"&lt;="&amp;(TODAY()-(WEEKDAY(TODAY()+1)+1)),'Tickets Recebidos'!Q:Q,"",'Tickets Recebidos'!O:O,"&gt;=2",'Tickets Recebidos'!B:B,"="&amp;N31)+COUNTIFS('Tickets Recebidos'!$D:$D,"&gt;="&amp;(TODAY()-(WEEKDAY(TODAY()+1)+1)-6),'Tickets Recebidos'!$D:$D,"&lt;="&amp;(TODAY()-(WEEKDAY(TODAY()+1)+1)),'Tickets Recebidos'!Q:Q,"=1",'Tickets Recebidos'!O:O,"&gt;=3",'Tickets Recebidos'!B:B,"="&amp;N31)+COUNTIFS('Tickets Recebidos'!$D:$D,"&gt;="&amp;(TODAY()-(WEEKDAY(TODAY()+1)+1)-6),'Tickets Recebidos'!$D:$D,"&lt;="&amp;(TODAY()-(WEEKDAY(TODAY()+1)+1)),'Tickets Recebidos'!Q:Q,"=6",'Tickets Recebidos'!O:O,"&gt;=4",'Tickets Recebidos'!B:B,"="&amp;N31)+COUNTIFS('Tickets Recebidos'!$D:$D,"&gt;="&amp;(TODAY()-(WEEKDAY(TODAY()+1)+1)-6),'Tickets Recebidos'!$D:$D,"&lt;="&amp;(TODAY()-(WEEKDAY(TODAY()+1)+1)),'Tickets Recebidos'!Q:Q,"=7",'Tickets Recebidos'!O:O,"&gt;=4",'Tickets Recebidos'!B:B,"="&amp;N31),IF($P$21="Semana atual",COUNTIFS('Tickets Recebidos'!$D:$D,"&gt;="&amp;(TODAY()-(WEEKDAY(TODAY()+1))),'Tickets Recebidos'!$D:$D,"&lt;="&amp;(TODAY()),'Tickets Recebidos'!Q:Q,"",'Tickets Recebidos'!O:O,"&gt;=2",'Tickets Recebidos'!B:B,"="&amp;N31)+COUNTIFS('Tickets Recebidos'!$D:$D,"&gt;="&amp;(TODAY()-(WEEKDAY(TODAY()+1))),'Tickets Recebidos'!$D:$D,"&lt;="&amp;(TODAY()),'Tickets Recebidos'!Q:Q,"=1",'Tickets Recebidos'!O:O,"&gt;=3",'Tickets Recebidos'!B:B,"="&amp;N31)+COUNTIFS('Tickets Recebidos'!$D:$D,"&gt;="&amp;(TODAY()-(WEEKDAY(TODAY()+1))),'Tickets Recebidos'!$D:$D,"&lt;="&amp;(TODAY()),'Tickets Recebidos'!Q:Q,"=6",'Tickets Recebidos'!O:O,"&gt;=4",'Tickets Recebidos'!B:B,"="&amp;N31)+COUNTIFS('Tickets Recebidos'!$D:$D,"&gt;="&amp;(TODAY()-(WEEKDAY(TODAY()+1))),'Tickets Recebidos'!$D:$D,"&lt;="&amp;(TODAY()),'Tickets Recebidos'!Q:Q,"=7",'Tickets Recebidos'!O:O,"&gt;=4",'Tickets Recebidos'!B:B,"="&amp;N31),(COUNTIFS('Tickets Recebidos'!$D:$D,"&gt;="&amp;$P$21,'Tickets Recebidos'!$D:$D,"&lt;"&amp;EDATE($P$21,1),'Tickets Recebidos'!Q:Q,"",'Tickets Recebidos'!O:O,"&gt;=2",'Tickets Recebidos'!B:B,"="&amp;N31)+COUNTIFS('Tickets Recebidos'!$D:$D,"&gt;="&amp;$P$21,'Tickets Recebidos'!$D:$D,"&lt;"&amp;EDATE($P$21,1),'Tickets Recebidos'!Q:Q,"=1",'Tickets Recebidos'!O:O,"&gt;=3",'Tickets Recebidos'!B:B,"="&amp;N31)+COUNTIFS('Tickets Recebidos'!$D:$D,"&gt;="&amp;$P$21,'Tickets Recebidos'!$D:$D,"&lt;"&amp;EDATE($P$21,1),'Tickets Recebidos'!Q:Q,"=6",'Tickets Recebidos'!O:O,"&gt;=4",'Tickets Recebidos'!B:B,"="&amp;N31)+COUNTIFS('Tickets Recebidos'!$D:$D,"&gt;="&amp;$P$21,'Tickets Recebidos'!$D:$D,"&lt;"&amp;EDATE($P$21,1),'Tickets Recebidos'!Q:Q,"=7",'Tickets Recebidos'!O:O,"&gt;=4",'Tickets Recebidos'!B:B,"="&amp;N31)))))</f>
        <v>0</v>
      </c>
      <c r="Q31" s="49">
        <f ca="1">IF($P$21="Total",(COUNTIFS('Tickets Recebidos'!P:P,"&gt;14",'Tickets Recebidos'!B:B,"="&amp;N31)),IF($P$21="Semana anterior",(COUNTIFS('Tickets Recebidos'!$D:$D,"&gt;="&amp;(TODAY()-(WEEKDAY(TODAY()+1))-18),'Tickets Recebidos'!$D:$D,"&lt;="&amp;(TODAY()-(WEEKDAY(TODAY()+1))),'Tickets Recebidos'!P:P,"&gt;14",'Tickets Recebidos'!B:B,"="&amp;N31)),IF($P$21="Semana atual",(COUNTIFS('Tickets Recebidos'!$D:$D,"&gt;="&amp;(TODAY()-18),'Tickets Recebidos'!$D:$D,"&lt;="&amp;(TODAY()),'Tickets Recebidos'!P:P,"&gt;14",'Tickets Recebidos'!B:B,"="&amp;N31)),COUNTIFS('Tickets Recebidos'!$D:$D,"&gt;="&amp;$P$21,'Tickets Recebidos'!$D:$D,"&lt;"&amp;EDATE($P$21,1),'Tickets Recebidos'!P:P,"&gt;14",'Tickets Recebidos'!B:B,"="&amp;N31))))</f>
        <v>0</v>
      </c>
      <c r="R31" s="16">
        <f t="shared" ca="1" si="5"/>
        <v>0</v>
      </c>
      <c r="S31" s="56"/>
    </row>
    <row r="32" spans="2:19" ht="12.75" customHeight="1">
      <c r="B32" s="72" t="str">
        <f t="shared" si="3"/>
        <v>-</v>
      </c>
      <c r="C32" s="20">
        <f ca="1">COUNTIFS('Tickets Recebidos'!M:M,"&lt;=30",'Tickets Recebidos'!B:B,"="&amp;B32)</f>
        <v>0</v>
      </c>
      <c r="D32" s="20">
        <f ca="1">COUNTIFS('Tickets Recebidos'!M:M,"&lt;=60",'Tickets Recebidos'!M:M,"&gt;=31",'Tickets Recebidos'!B:B,"="&amp;B32)</f>
        <v>0</v>
      </c>
      <c r="E32" s="35">
        <f ca="1">COUNTIFS('Tickets Recebidos'!M:M,"&gt;=61",'Tickets Recebidos'!B:B,"="&amp;B32)</f>
        <v>0</v>
      </c>
      <c r="F32" s="20">
        <f>COUNTIFS('Tickets Recebidos'!J:J,"=RS",'Tickets Recebidos'!B:B,"="&amp;B32)</f>
        <v>0</v>
      </c>
      <c r="G32" s="18"/>
      <c r="N32" s="27" t="str">
        <f t="shared" si="4"/>
        <v>-</v>
      </c>
      <c r="O32" s="5" t="s">
        <v>8</v>
      </c>
      <c r="P32" s="5" t="s">
        <v>8</v>
      </c>
      <c r="Q32" s="5" t="s">
        <v>8</v>
      </c>
      <c r="R32" s="16" t="e">
        <f t="shared" si="5"/>
        <v>#VALUE!</v>
      </c>
      <c r="S32" s="56"/>
    </row>
    <row r="33" spans="2:19" ht="12.75" customHeight="1">
      <c r="B33" s="73" t="str">
        <f t="shared" si="3"/>
        <v>-</v>
      </c>
      <c r="C33" s="37">
        <f ca="1">COUNTIFS('Tickets Recebidos'!M:M,"&lt;=30",'Tickets Recebidos'!B:B,"="&amp;B33)</f>
        <v>0</v>
      </c>
      <c r="D33" s="37">
        <f ca="1">COUNTIFS('Tickets Recebidos'!M:M,"&lt;=60",'Tickets Recebidos'!M:M,"&gt;=31",'Tickets Recebidos'!B:B,"="&amp;B33)</f>
        <v>0</v>
      </c>
      <c r="E33" s="52">
        <f ca="1">COUNTIFS('Tickets Recebidos'!M:M,"&gt;=61",'Tickets Recebidos'!B:B,"="&amp;B33)</f>
        <v>0</v>
      </c>
      <c r="F33" s="37">
        <f>COUNTIFS('Tickets Recebidos'!J:J,"=RS",'Tickets Recebidos'!B:B,"="&amp;B33)</f>
        <v>0</v>
      </c>
      <c r="G33" s="18"/>
      <c r="N33" s="38" t="str">
        <f t="shared" si="4"/>
        <v>-</v>
      </c>
      <c r="O33" s="39" t="s">
        <v>8</v>
      </c>
      <c r="P33" s="49" t="s">
        <v>8</v>
      </c>
      <c r="Q33" s="49" t="s">
        <v>8</v>
      </c>
      <c r="R33" s="16" t="e">
        <f t="shared" si="5"/>
        <v>#VALUE!</v>
      </c>
      <c r="S33" s="56"/>
    </row>
    <row r="34" spans="2:19" ht="12.75" customHeight="1">
      <c r="B34" s="72" t="str">
        <f t="shared" si="3"/>
        <v>-</v>
      </c>
      <c r="C34" s="20">
        <f ca="1">COUNTIFS('Tickets Recebidos'!M:M,"&lt;=30",'Tickets Recebidos'!B:B,"="&amp;B34)</f>
        <v>0</v>
      </c>
      <c r="D34" s="20">
        <f ca="1">COUNTIFS('Tickets Recebidos'!M:M,"&lt;=60",'Tickets Recebidos'!M:M,"&gt;=31",'Tickets Recebidos'!B:B,"="&amp;B34)</f>
        <v>0</v>
      </c>
      <c r="E34" s="35">
        <f ca="1">COUNTIFS('Tickets Recebidos'!M:M,"&gt;=61",'Tickets Recebidos'!B:B,"="&amp;B34)</f>
        <v>0</v>
      </c>
      <c r="F34" s="20">
        <f>COUNTIFS('Tickets Recebidos'!J:J,"=RS",'Tickets Recebidos'!B:B,"="&amp;B34)</f>
        <v>0</v>
      </c>
      <c r="G34" s="18"/>
      <c r="N34" s="27" t="str">
        <f t="shared" si="4"/>
        <v>-</v>
      </c>
      <c r="O34" s="5" t="s">
        <v>8</v>
      </c>
      <c r="P34" s="19" t="s">
        <v>8</v>
      </c>
      <c r="Q34" s="19" t="s">
        <v>8</v>
      </c>
      <c r="R34" s="16" t="e">
        <f t="shared" si="5"/>
        <v>#VALUE!</v>
      </c>
      <c r="S34" s="56"/>
    </row>
    <row r="35" spans="2:19" ht="12.75" customHeight="1">
      <c r="B35" s="76" t="str">
        <f t="shared" si="3"/>
        <v>-</v>
      </c>
      <c r="C35" s="46">
        <f ca="1">COUNTIFS('Tickets Recebidos'!M:M,"&lt;=30",'Tickets Recebidos'!B:B,"="&amp;B35)</f>
        <v>0</v>
      </c>
      <c r="D35" s="46">
        <f ca="1">COUNTIFS('Tickets Recebidos'!M:M,"&lt;=60",'Tickets Recebidos'!M:M,"&gt;=31",'Tickets Recebidos'!B:B,"="&amp;B35)</f>
        <v>0</v>
      </c>
      <c r="E35" s="53">
        <f ca="1">COUNTIFS('Tickets Recebidos'!M:M,"&gt;=61",'Tickets Recebidos'!B:B,"="&amp;B35)</f>
        <v>0</v>
      </c>
      <c r="F35" s="46">
        <f>COUNTIFS('Tickets Recebidos'!J:J,"=RS",'Tickets Recebidos'!B:B,"="&amp;B35)</f>
        <v>0</v>
      </c>
      <c r="G35" s="18"/>
      <c r="N35" s="38" t="str">
        <f t="shared" si="4"/>
        <v>-</v>
      </c>
      <c r="O35" s="48" t="s">
        <v>8</v>
      </c>
      <c r="P35" s="49" t="s">
        <v>8</v>
      </c>
      <c r="Q35" s="49" t="s">
        <v>8</v>
      </c>
      <c r="R35" s="16" t="e">
        <f t="shared" si="5"/>
        <v>#VALUE!</v>
      </c>
      <c r="S35" s="56"/>
    </row>
    <row r="36" spans="2:19" ht="12.75" customHeight="1">
      <c r="B36" s="75" t="str">
        <f t="shared" si="3"/>
        <v>Total</v>
      </c>
      <c r="C36" s="34">
        <f ca="1">COUNTIFS('Tickets Recebidos'!M:M,"&lt;=30")</f>
        <v>0</v>
      </c>
      <c r="D36" s="34">
        <f ca="1">COUNTIFS('Tickets Recebidos'!M:M,"&lt;=60",'Tickets Recebidos'!M:M,"&gt;=31")</f>
        <v>0</v>
      </c>
      <c r="E36" s="55">
        <f ca="1">SUM(E23:E35)</f>
        <v>2</v>
      </c>
      <c r="F36" s="31">
        <f>SUM(F23:F35)</f>
        <v>2</v>
      </c>
      <c r="G36" s="18"/>
      <c r="N36" s="28" t="str">
        <f t="shared" si="4"/>
        <v>Total</v>
      </c>
      <c r="O36" s="32">
        <f ca="1">SUM(O23:O35)</f>
        <v>0</v>
      </c>
      <c r="P36" s="136">
        <f ca="1">SUM(P23:P32)</f>
        <v>0</v>
      </c>
      <c r="Q36" s="137">
        <f ca="1">SUM(Q23:Q32)</f>
        <v>0</v>
      </c>
      <c r="R36" s="16">
        <f t="shared" ca="1" si="5"/>
        <v>0</v>
      </c>
      <c r="S36" s="57"/>
    </row>
    <row r="37" spans="2:19" ht="6.75" customHeight="1">
      <c r="P37" s="135"/>
    </row>
    <row r="38" spans="2:19" ht="18" customHeight="1">
      <c r="B38" s="196" t="s">
        <v>68</v>
      </c>
      <c r="C38" s="197"/>
      <c r="D38" s="197"/>
      <c r="E38" s="197"/>
      <c r="F38" s="198"/>
      <c r="N38" s="248" t="s">
        <v>52</v>
      </c>
      <c r="O38" s="249"/>
      <c r="P38" s="249"/>
      <c r="Q38" s="108" t="s">
        <v>3</v>
      </c>
      <c r="R38" s="2"/>
    </row>
    <row r="39" spans="2:19" ht="12.75" customHeight="1">
      <c r="B39" s="64" t="s">
        <v>18</v>
      </c>
      <c r="C39" s="68" t="s">
        <v>21</v>
      </c>
      <c r="D39" s="68" t="s">
        <v>40</v>
      </c>
      <c r="E39" s="68" t="s">
        <v>7</v>
      </c>
      <c r="F39" s="63" t="s">
        <v>10</v>
      </c>
      <c r="G39" s="18"/>
      <c r="H39" s="70"/>
      <c r="N39" s="6" t="s">
        <v>18</v>
      </c>
      <c r="O39" s="6" t="s">
        <v>21</v>
      </c>
      <c r="P39" s="6" t="s">
        <v>7</v>
      </c>
      <c r="Q39" s="6" t="s">
        <v>10</v>
      </c>
      <c r="R39" s="16" t="s">
        <v>51</v>
      </c>
    </row>
    <row r="40" spans="2:19" ht="12.75" customHeight="1">
      <c r="B40" s="169">
        <f t="shared" ref="B40:B50" ca="1" si="6">EDATE(B41,-1)</f>
        <v>43789</v>
      </c>
      <c r="C40" s="49">
        <f ca="1">IF((COUNTIFS('Tickets Recebidos'!$D:$D,"&gt;="&amp;$B40,'Tickets Recebidos'!$D:$D,"&lt;"&amp;EDATE($B40,1)))=0,"-",(COUNTIFS('Tickets Recebidos'!$D:$D,"&gt;="&amp;$B40,'Tickets Recebidos'!$D:$D,"&lt;"&amp;EDATE($B40,1))))</f>
        <v>6</v>
      </c>
      <c r="D40" s="49">
        <f ca="1">COUNTIFS('Tickets Recebidos'!$D:$D,"&gt;="&amp;B40,'Tickets Recebidos'!$D:$D,"&lt;"&amp;EDATE(B40,1),'Tickets Recebidos'!Q:Q,"",'Tickets Recebidos'!O:O,"&gt;=2")+COUNTIFS('Tickets Recebidos'!$D:$D,"&gt;="&amp;B40,'Tickets Recebidos'!$D:$D,"&lt;"&amp;EDATE(B40,1),'Tickets Recebidos'!Q:Q,"=1",'Tickets Recebidos'!O:O,"&gt;=3")+COUNTIFS('Tickets Recebidos'!$D:$D,"&gt;="&amp;B40,'Tickets Recebidos'!$D:$D,"&lt;"&amp;EDATE(B40,1),'Tickets Recebidos'!Q:Q,"=6",'Tickets Recebidos'!O:O,"&gt;=4")+COUNTIFS('Tickets Recebidos'!$D:$D,"&gt;="&amp;B40,'Tickets Recebidos'!$D:$D,"&lt;"&amp;EDATE(B40,1),'Tickets Recebidos'!Q:Q,"=7",'Tickets Recebidos'!O:O,"&gt;=4")+COUNTIFS('Tickets Recebidos'!$D:$D,"&gt;="&amp;B40,'Tickets Recebidos'!$D:$D,"&lt;"&amp;EDATE(B40,1),'Tickets Recebidos'!P:P,"&gt;14")</f>
        <v>3</v>
      </c>
      <c r="E40" s="49">
        <f ca="1">COUNTIFS('Tickets Recebidos'!$D:$D,"&gt;="&amp;B40,'Tickets Recebidos'!$D:$D,"&lt;"&amp;EDATE(B40,1),'Tickets Recebidos'!Q:Q,"",'Tickets Recebidos'!O:O,"&gt;=2")+COUNTIFS('Tickets Recebidos'!$D:$D,"&gt;="&amp;B40,'Tickets Recebidos'!$D:$D,"&lt;"&amp;EDATE(B40,1),'Tickets Recebidos'!Q:Q,"=1",'Tickets Recebidos'!O:O,"&gt;=3")+COUNTIFS('Tickets Recebidos'!$D:$D,"&gt;="&amp;B40,'Tickets Recebidos'!$D:$D,"&lt;"&amp;EDATE(B40,1),'Tickets Recebidos'!Q:Q,"=6",'Tickets Recebidos'!O:O,"&gt;=4")+COUNTIFS('Tickets Recebidos'!$D:$D,"&gt;="&amp;B40,'Tickets Recebidos'!$D:$D,"&lt;"&amp;EDATE(B40,1),'Tickets Recebidos'!Q:Q,"=7",'Tickets Recebidos'!O:O,"&gt;=4")</f>
        <v>1</v>
      </c>
      <c r="F40" s="49">
        <f ca="1">COUNTIFS('Tickets Recebidos'!$D:$D,"&gt;="&amp;B40,'Tickets Recebidos'!$D:$D,"&lt;"&amp;EDATE(B40,1),'Tickets Recebidos'!P:P,"&gt;14")</f>
        <v>2</v>
      </c>
      <c r="G40" s="58"/>
      <c r="H40" s="69"/>
      <c r="I40" s="69"/>
      <c r="N40" s="74">
        <f t="shared" ref="N40:N50" ca="1" si="7">EDATE(N41,-1)</f>
        <v>43789</v>
      </c>
      <c r="O40" s="59" t="str">
        <f ca="1">IF((COUNTIFS('Tickets Recebidos'!$D:$D,"&gt;="&amp;N40,'Tickets Recebidos'!$D:$D,"&lt;"&amp;EDATE(N40,1),'Tickets Recebidos'!$B:$B,"="&amp;$Q$38))=0,"-",(COUNTIFS('Tickets Recebidos'!$D:$D,"&gt;="&amp;N40,'Tickets Recebidos'!$D:$D,"&lt;"&amp;EDATE(N40,1),'Tickets Recebidos'!$B:$B,"="&amp;$Q$38)))</f>
        <v>-</v>
      </c>
      <c r="P40" s="59">
        <f ca="1">COUNTIFS('Tickets Recebidos'!$D:$D,"&gt;="&amp;N40,'Tickets Recebidos'!$D:$D,"&lt;"&amp;EDATE(N40,1),'Tickets Recebidos'!Q:Q,"",'Tickets Recebidos'!O:O,"&gt;=2",'Tickets Recebidos'!B:B,"="&amp;$Q$38)+COUNTIFS('Tickets Recebidos'!$D:$D,"&gt;="&amp;N40,'Tickets Recebidos'!$D:$D,"&lt;"&amp;EDATE(N40,1),'Tickets Recebidos'!Q:Q,"=1",'Tickets Recebidos'!O:O,"&gt;=3",'Tickets Recebidos'!B:B,"="&amp;$Q$38)+COUNTIFS('Tickets Recebidos'!$D:$D,"&gt;="&amp;N40,'Tickets Recebidos'!$D:$D,"&lt;"&amp;EDATE(N40,1),'Tickets Recebidos'!Q:Q,"=6",'Tickets Recebidos'!O:O,"&gt;=4",'Tickets Recebidos'!B:B,"="&amp;$Q$38)+COUNTIFS('Tickets Recebidos'!$D:$D,"&gt;="&amp;N40,'Tickets Recebidos'!$D:$D,"&lt;"&amp;EDATE(N40,1),'Tickets Recebidos'!Q:Q,"=7",'Tickets Recebidos'!O:O,"&gt;=4",'Tickets Recebidos'!B:B,"="&amp;$Q$38)</f>
        <v>0</v>
      </c>
      <c r="Q40" s="59">
        <f ca="1">COUNTIFS('Tickets Recebidos'!$D:$D,"&gt;="&amp;N40,'Tickets Recebidos'!$D:$D,"&lt;"&amp;EDATE(N40,1),'Tickets Recebidos'!P:P,"&gt;14",'Tickets Recebidos'!B:B,"="&amp;$Q$38)</f>
        <v>0</v>
      </c>
      <c r="R40" s="90" t="e">
        <f ca="1">O40-(P40+Q40)</f>
        <v>#VALUE!</v>
      </c>
    </row>
    <row r="41" spans="2:19" ht="12.75" customHeight="1">
      <c r="B41" s="170">
        <f t="shared" ca="1" si="6"/>
        <v>43819</v>
      </c>
      <c r="C41" s="19" t="str">
        <f ca="1">IF((COUNTIFS('Tickets Recebidos'!$D:$D,"&gt;="&amp;$B41,'Tickets Recebidos'!$D:$D,"&lt;"&amp;EDATE($B41,1)))=0,"-",(COUNTIFS('Tickets Recebidos'!$D:$D,"&gt;="&amp;$B41,'Tickets Recebidos'!$D:$D,"&lt;"&amp;EDATE($B41,1))))</f>
        <v>-</v>
      </c>
      <c r="D41" s="19">
        <f ca="1">COUNTIFS('Tickets Recebidos'!$D:$D,"&gt;="&amp;B41,'Tickets Recebidos'!$D:$D,"&lt;"&amp;EDATE(B41,1),'Tickets Recebidos'!Q:Q,"",'Tickets Recebidos'!O:O,"&gt;=2")+COUNTIFS('Tickets Recebidos'!$D:$D,"&gt;="&amp;B41,'Tickets Recebidos'!$D:$D,"&lt;"&amp;EDATE(B41,1),'Tickets Recebidos'!Q:Q,"=1",'Tickets Recebidos'!O:O,"&gt;=3")+COUNTIFS('Tickets Recebidos'!$D:$D,"&gt;="&amp;B41,'Tickets Recebidos'!$D:$D,"&lt;"&amp;EDATE(B41,1),'Tickets Recebidos'!Q:Q,"=6",'Tickets Recebidos'!O:O,"&gt;=4")+COUNTIFS('Tickets Recebidos'!$D:$D,"&gt;="&amp;B41,'Tickets Recebidos'!$D:$D,"&lt;"&amp;EDATE(B41,1),'Tickets Recebidos'!Q:Q,"=7",'Tickets Recebidos'!O:O,"&gt;=4")+COUNTIFS('Tickets Recebidos'!$D:$D,"&gt;="&amp;B41,'Tickets Recebidos'!$D:$D,"&lt;"&amp;EDATE(B41,1),'Tickets Recebidos'!P:P,"&gt;14")</f>
        <v>0</v>
      </c>
      <c r="E41" s="19">
        <f ca="1">COUNTIFS('Tickets Recebidos'!$D:$D,"&gt;="&amp;B41,'Tickets Recebidos'!$D:$D,"&lt;"&amp;EDATE(B41,1),'Tickets Recebidos'!Q:Q,"",'Tickets Recebidos'!O:O,"&gt;=2")+COUNTIFS('Tickets Recebidos'!$D:$D,"&gt;="&amp;B41,'Tickets Recebidos'!$D:$D,"&lt;"&amp;EDATE(B41,1),'Tickets Recebidos'!Q:Q,"=1",'Tickets Recebidos'!O:O,"&gt;=3")+COUNTIFS('Tickets Recebidos'!$D:$D,"&gt;="&amp;B41,'Tickets Recebidos'!$D:$D,"&lt;"&amp;EDATE(B41,1),'Tickets Recebidos'!Q:Q,"=6",'Tickets Recebidos'!O:O,"&gt;=4")+COUNTIFS('Tickets Recebidos'!$D:$D,"&gt;="&amp;B41,'Tickets Recebidos'!$D:$D,"&lt;"&amp;EDATE(B41,1),'Tickets Recebidos'!Q:Q,"=7",'Tickets Recebidos'!O:O,"&gt;=4")</f>
        <v>0</v>
      </c>
      <c r="F41" s="19">
        <f ca="1">COUNTIFS('Tickets Recebidos'!$D:$D,"&gt;="&amp;B41,'Tickets Recebidos'!$D:$D,"&lt;"&amp;EDATE(B41,1),'Tickets Recebidos'!P:P,"&gt;14")</f>
        <v>0</v>
      </c>
      <c r="G41" s="18"/>
      <c r="H41" s="69"/>
      <c r="I41" s="69"/>
      <c r="N41" s="72">
        <f t="shared" ca="1" si="7"/>
        <v>43819</v>
      </c>
      <c r="O41" s="61" t="str">
        <f ca="1">IF((COUNTIFS('Tickets Recebidos'!$D:$D,"&gt;="&amp;N41,'Tickets Recebidos'!$D:$D,"&lt;"&amp;EDATE(N41,1),'Tickets Recebidos'!$B:$B,"="&amp;$Q$38))=0,"-",(COUNTIFS('Tickets Recebidos'!$D:$D,"&gt;="&amp;N41,'Tickets Recebidos'!$D:$D,"&lt;"&amp;EDATE(N41,1),'Tickets Recebidos'!$B:$B,"="&amp;$Q$38)))</f>
        <v>-</v>
      </c>
      <c r="P41" s="61">
        <f ca="1">COUNTIFS('Tickets Recebidos'!$D:$D,"&gt;="&amp;N41,'Tickets Recebidos'!$D:$D,"&lt;"&amp;EDATE(N41,1),'Tickets Recebidos'!Q:Q,"",'Tickets Recebidos'!O:O,"&gt;=2",'Tickets Recebidos'!B:B,"="&amp;$Q$38)+COUNTIFS('Tickets Recebidos'!$D:$D,"&gt;="&amp;N41,'Tickets Recebidos'!$D:$D,"&lt;"&amp;EDATE(N41,1),'Tickets Recebidos'!Q:Q,"=1",'Tickets Recebidos'!O:O,"&gt;=3",'Tickets Recebidos'!B:B,"="&amp;$Q$38)+COUNTIFS('Tickets Recebidos'!$D:$D,"&gt;="&amp;N41,'Tickets Recebidos'!$D:$D,"&lt;"&amp;EDATE(N41,1),'Tickets Recebidos'!Q:Q,"=6",'Tickets Recebidos'!O:O,"&gt;=4",'Tickets Recebidos'!B:B,"="&amp;$Q$38)+COUNTIFS('Tickets Recebidos'!$D:$D,"&gt;="&amp;N41,'Tickets Recebidos'!$D:$D,"&lt;"&amp;EDATE(N41,1),'Tickets Recebidos'!Q:Q,"=7",'Tickets Recebidos'!O:O,"&gt;=4",'Tickets Recebidos'!B:B,"="&amp;$Q$38)</f>
        <v>0</v>
      </c>
      <c r="Q41" s="61">
        <f ca="1">COUNTIFS('Tickets Recebidos'!$D:$D,"&gt;="&amp;N41,'Tickets Recebidos'!$D:$D,"&lt;"&amp;EDATE(N41,1),'Tickets Recebidos'!P:P,"&gt;14",'Tickets Recebidos'!B:B,"="&amp;$Q$38)</f>
        <v>0</v>
      </c>
      <c r="R41" s="90" t="e">
        <f t="shared" ref="R41:R53" ca="1" si="8">O41-(P41+Q41)</f>
        <v>#VALUE!</v>
      </c>
    </row>
    <row r="42" spans="2:19" ht="12.75" customHeight="1">
      <c r="B42" s="169">
        <f t="shared" ca="1" si="6"/>
        <v>43850</v>
      </c>
      <c r="C42" s="39" t="str">
        <f ca="1">IF((COUNTIFS('Tickets Recebidos'!$D:$D,"&gt;="&amp;$B42,'Tickets Recebidos'!$D:$D,"&lt;"&amp;EDATE($B42,1)))=0,"-",(COUNTIFS('Tickets Recebidos'!$D:$D,"&gt;="&amp;$B42,'Tickets Recebidos'!$D:$D,"&lt;"&amp;EDATE($B42,1))))</f>
        <v>-</v>
      </c>
      <c r="D42" s="39">
        <f ca="1">COUNTIFS('Tickets Recebidos'!$D:$D,"&gt;="&amp;B42,'Tickets Recebidos'!$D:$D,"&lt;"&amp;EDATE(B42,1),'Tickets Recebidos'!Q:Q,"",'Tickets Recebidos'!O:O,"&gt;=2")+COUNTIFS('Tickets Recebidos'!$D:$D,"&gt;="&amp;B42,'Tickets Recebidos'!$D:$D,"&lt;"&amp;EDATE(B42,1),'Tickets Recebidos'!Q:Q,"=1",'Tickets Recebidos'!O:O,"&gt;=3")+COUNTIFS('Tickets Recebidos'!$D:$D,"&gt;="&amp;B42,'Tickets Recebidos'!$D:$D,"&lt;"&amp;EDATE(B42,1),'Tickets Recebidos'!Q:Q,"=6",'Tickets Recebidos'!O:O,"&gt;=4")+COUNTIFS('Tickets Recebidos'!$D:$D,"&gt;="&amp;B42,'Tickets Recebidos'!$D:$D,"&lt;"&amp;EDATE(B42,1),'Tickets Recebidos'!Q:Q,"=7",'Tickets Recebidos'!O:O,"&gt;=4")+COUNTIFS('Tickets Recebidos'!$D:$D,"&gt;="&amp;B42,'Tickets Recebidos'!$D:$D,"&lt;"&amp;EDATE(B42,1),'Tickets Recebidos'!P:P,"&gt;14")</f>
        <v>0</v>
      </c>
      <c r="E42" s="39">
        <f ca="1">COUNTIFS('Tickets Recebidos'!$D:$D,"&gt;="&amp;B42,'Tickets Recebidos'!$D:$D,"&lt;"&amp;EDATE(B42,1),'Tickets Recebidos'!Q:Q,"",'Tickets Recebidos'!O:O,"&gt;=2")+COUNTIFS('Tickets Recebidos'!$D:$D,"&gt;="&amp;B42,'Tickets Recebidos'!$D:$D,"&lt;"&amp;EDATE(B42,1),'Tickets Recebidos'!Q:Q,"=1",'Tickets Recebidos'!O:O,"&gt;=3")+COUNTIFS('Tickets Recebidos'!$D:$D,"&gt;="&amp;B42,'Tickets Recebidos'!$D:$D,"&lt;"&amp;EDATE(B42,1),'Tickets Recebidos'!Q:Q,"=6",'Tickets Recebidos'!O:O,"&gt;=4")+COUNTIFS('Tickets Recebidos'!$D:$D,"&gt;="&amp;B42,'Tickets Recebidos'!$D:$D,"&lt;"&amp;EDATE(B42,1),'Tickets Recebidos'!Q:Q,"=7",'Tickets Recebidos'!O:O,"&gt;=4")</f>
        <v>0</v>
      </c>
      <c r="F42" s="39">
        <f ca="1">COUNTIFS('Tickets Recebidos'!$D:$D,"&gt;="&amp;B42,'Tickets Recebidos'!$D:$D,"&lt;"&amp;EDATE(B42,1),'Tickets Recebidos'!P:P,"&gt;14")</f>
        <v>0</v>
      </c>
      <c r="G42" s="18"/>
      <c r="H42" s="69"/>
      <c r="I42" s="69"/>
      <c r="N42" s="73">
        <f t="shared" ca="1" si="7"/>
        <v>43850</v>
      </c>
      <c r="O42" s="60" t="str">
        <f ca="1">IF((COUNTIFS('Tickets Recebidos'!$D:$D,"&gt;="&amp;N42,'Tickets Recebidos'!$D:$D,"&lt;"&amp;EDATE(N42,1),'Tickets Recebidos'!$B:$B,"="&amp;$Q$38))=0,"-",(COUNTIFS('Tickets Recebidos'!$D:$D,"&gt;="&amp;N42,'Tickets Recebidos'!$D:$D,"&lt;"&amp;EDATE(N42,1),'Tickets Recebidos'!$B:$B,"="&amp;$Q$38)))</f>
        <v>-</v>
      </c>
      <c r="P42" s="60">
        <f ca="1">COUNTIFS('Tickets Recebidos'!$D:$D,"&gt;="&amp;N42,'Tickets Recebidos'!$D:$D,"&lt;"&amp;EDATE(N42,1),'Tickets Recebidos'!Q:Q,"",'Tickets Recebidos'!O:O,"&gt;=2",'Tickets Recebidos'!B:B,"="&amp;$Q$38)+COUNTIFS('Tickets Recebidos'!$D:$D,"&gt;="&amp;N42,'Tickets Recebidos'!$D:$D,"&lt;"&amp;EDATE(N42,1),'Tickets Recebidos'!Q:Q,"=1",'Tickets Recebidos'!O:O,"&gt;=3",'Tickets Recebidos'!B:B,"="&amp;$Q$38)+COUNTIFS('Tickets Recebidos'!$D:$D,"&gt;="&amp;N42,'Tickets Recebidos'!$D:$D,"&lt;"&amp;EDATE(N42,1),'Tickets Recebidos'!Q:Q,"=6",'Tickets Recebidos'!O:O,"&gt;=4",'Tickets Recebidos'!B:B,"="&amp;$Q$38)+COUNTIFS('Tickets Recebidos'!$D:$D,"&gt;="&amp;N42,'Tickets Recebidos'!$D:$D,"&lt;"&amp;EDATE(N42,1),'Tickets Recebidos'!Q:Q,"=7",'Tickets Recebidos'!O:O,"&gt;=4",'Tickets Recebidos'!B:B,"="&amp;$Q$38)</f>
        <v>0</v>
      </c>
      <c r="Q42" s="60">
        <f ca="1">COUNTIFS('Tickets Recebidos'!$D:$D,"&gt;="&amp;N42,'Tickets Recebidos'!$D:$D,"&lt;"&amp;EDATE(N42,1),'Tickets Recebidos'!P:P,"&gt;14",'Tickets Recebidos'!B:B,"="&amp;$Q$38)</f>
        <v>0</v>
      </c>
      <c r="R42" s="90" t="e">
        <f t="shared" ca="1" si="8"/>
        <v>#VALUE!</v>
      </c>
    </row>
    <row r="43" spans="2:19" ht="12.75" customHeight="1">
      <c r="B43" s="170">
        <f t="shared" ca="1" si="6"/>
        <v>43881</v>
      </c>
      <c r="C43" s="5" t="str">
        <f ca="1">IF((COUNTIFS('Tickets Recebidos'!$D:$D,"&gt;="&amp;$B43,'Tickets Recebidos'!$D:$D,"&lt;"&amp;EDATE($B43,1)))=0,"-",(COUNTIFS('Tickets Recebidos'!$D:$D,"&gt;="&amp;$B43,'Tickets Recebidos'!$D:$D,"&lt;"&amp;EDATE($B43,1))))</f>
        <v>-</v>
      </c>
      <c r="D43" s="5">
        <f ca="1">COUNTIFS('Tickets Recebidos'!$D:$D,"&gt;="&amp;B43,'Tickets Recebidos'!$D:$D,"&lt;"&amp;EDATE(B43,1),'Tickets Recebidos'!Q:Q,"",'Tickets Recebidos'!O:O,"&gt;=2")+COUNTIFS('Tickets Recebidos'!$D:$D,"&gt;="&amp;B43,'Tickets Recebidos'!$D:$D,"&lt;"&amp;EDATE(B43,1),'Tickets Recebidos'!Q:Q,"=1",'Tickets Recebidos'!O:O,"&gt;=3")+COUNTIFS('Tickets Recebidos'!$D:$D,"&gt;="&amp;B43,'Tickets Recebidos'!$D:$D,"&lt;"&amp;EDATE(B43,1),'Tickets Recebidos'!Q:Q,"=6",'Tickets Recebidos'!O:O,"&gt;=4")+COUNTIFS('Tickets Recebidos'!$D:$D,"&gt;="&amp;B43,'Tickets Recebidos'!$D:$D,"&lt;"&amp;EDATE(B43,1),'Tickets Recebidos'!Q:Q,"=7",'Tickets Recebidos'!O:O,"&gt;=4")+COUNTIFS('Tickets Recebidos'!$D:$D,"&gt;="&amp;B43,'Tickets Recebidos'!$D:$D,"&lt;"&amp;EDATE(B43,1),'Tickets Recebidos'!P:P,"&gt;14")</f>
        <v>0</v>
      </c>
      <c r="E43" s="5">
        <f ca="1">COUNTIFS('Tickets Recebidos'!$D:$D,"&gt;="&amp;B43,'Tickets Recebidos'!$D:$D,"&lt;"&amp;EDATE(B43,1),'Tickets Recebidos'!Q:Q,"",'Tickets Recebidos'!O:O,"&gt;=2")+COUNTIFS('Tickets Recebidos'!$D:$D,"&gt;="&amp;B43,'Tickets Recebidos'!$D:$D,"&lt;"&amp;EDATE(B43,1),'Tickets Recebidos'!Q:Q,"=1",'Tickets Recebidos'!O:O,"&gt;=3")+COUNTIFS('Tickets Recebidos'!$D:$D,"&gt;="&amp;B43,'Tickets Recebidos'!$D:$D,"&lt;"&amp;EDATE(B43,1),'Tickets Recebidos'!Q:Q,"=6",'Tickets Recebidos'!O:O,"&gt;=4")+COUNTIFS('Tickets Recebidos'!$D:$D,"&gt;="&amp;B43,'Tickets Recebidos'!$D:$D,"&lt;"&amp;EDATE(B43,1),'Tickets Recebidos'!Q:Q,"=7",'Tickets Recebidos'!O:O,"&gt;=4")</f>
        <v>0</v>
      </c>
      <c r="F43" s="5">
        <f ca="1">COUNTIFS('Tickets Recebidos'!$D:$D,"&gt;="&amp;B43,'Tickets Recebidos'!$D:$D,"&lt;"&amp;EDATE(B43,1),'Tickets Recebidos'!P:P,"&gt;14")</f>
        <v>0</v>
      </c>
      <c r="G43" s="18"/>
      <c r="H43" s="69"/>
      <c r="I43" s="69"/>
      <c r="N43" s="72">
        <f t="shared" ca="1" si="7"/>
        <v>43881</v>
      </c>
      <c r="O43" s="61" t="str">
        <f ca="1">IF((COUNTIFS('Tickets Recebidos'!$D:$D,"&gt;="&amp;N43,'Tickets Recebidos'!$D:$D,"&lt;"&amp;EDATE(N43,1),'Tickets Recebidos'!$B:$B,"="&amp;$Q$38))=0,"-",(COUNTIFS('Tickets Recebidos'!$D:$D,"&gt;="&amp;N43,'Tickets Recebidos'!$D:$D,"&lt;"&amp;EDATE(N43,1),'Tickets Recebidos'!$B:$B,"="&amp;$Q$38)))</f>
        <v>-</v>
      </c>
      <c r="P43" s="61">
        <f ca="1">COUNTIFS('Tickets Recebidos'!$D:$D,"&gt;="&amp;N43,'Tickets Recebidos'!$D:$D,"&lt;"&amp;EDATE(N43,1),'Tickets Recebidos'!Q:Q,"",'Tickets Recebidos'!O:O,"&gt;=2",'Tickets Recebidos'!B:B,"="&amp;$Q$38)+COUNTIFS('Tickets Recebidos'!$D:$D,"&gt;="&amp;N43,'Tickets Recebidos'!$D:$D,"&lt;"&amp;EDATE(N43,1),'Tickets Recebidos'!Q:Q,"=1",'Tickets Recebidos'!O:O,"&gt;=3",'Tickets Recebidos'!B:B,"="&amp;$Q$38)+COUNTIFS('Tickets Recebidos'!$D:$D,"&gt;="&amp;N43,'Tickets Recebidos'!$D:$D,"&lt;"&amp;EDATE(N43,1),'Tickets Recebidos'!Q:Q,"=6",'Tickets Recebidos'!O:O,"&gt;=4",'Tickets Recebidos'!B:B,"="&amp;$Q$38)+COUNTIFS('Tickets Recebidos'!$D:$D,"&gt;="&amp;N43,'Tickets Recebidos'!$D:$D,"&lt;"&amp;EDATE(N43,1),'Tickets Recebidos'!Q:Q,"=7",'Tickets Recebidos'!O:O,"&gt;=4",'Tickets Recebidos'!B:B,"="&amp;$Q$38)</f>
        <v>0</v>
      </c>
      <c r="Q43" s="61">
        <f ca="1">COUNTIFS('Tickets Recebidos'!$D:$D,"&gt;="&amp;N43,'Tickets Recebidos'!$D:$D,"&lt;"&amp;EDATE(N43,1),'Tickets Recebidos'!P:P,"&gt;14",'Tickets Recebidos'!B:B,"="&amp;$Q$38)</f>
        <v>0</v>
      </c>
      <c r="R43" s="90" t="e">
        <f t="shared" ca="1" si="8"/>
        <v>#VALUE!</v>
      </c>
    </row>
    <row r="44" spans="2:19" ht="12.75" customHeight="1">
      <c r="B44" s="169">
        <f t="shared" ca="1" si="6"/>
        <v>43910</v>
      </c>
      <c r="C44" s="39" t="str">
        <f ca="1">IF((COUNTIFS('Tickets Recebidos'!$D:$D,"&gt;="&amp;$B44,'Tickets Recebidos'!$D:$D,"&lt;"&amp;EDATE($B44,1)))=0,"-",(COUNTIFS('Tickets Recebidos'!$D:$D,"&gt;="&amp;$B44,'Tickets Recebidos'!$D:$D,"&lt;"&amp;EDATE($B44,1))))</f>
        <v>-</v>
      </c>
      <c r="D44" s="39">
        <f ca="1">COUNTIFS('Tickets Recebidos'!$D:$D,"&gt;="&amp;B44,'Tickets Recebidos'!$D:$D,"&lt;"&amp;EDATE(B44,1),'Tickets Recebidos'!Q:Q,"",'Tickets Recebidos'!O:O,"&gt;=2")+COUNTIFS('Tickets Recebidos'!$D:$D,"&gt;="&amp;B44,'Tickets Recebidos'!$D:$D,"&lt;"&amp;EDATE(B44,1),'Tickets Recebidos'!Q:Q,"=1",'Tickets Recebidos'!O:O,"&gt;=3")+COUNTIFS('Tickets Recebidos'!$D:$D,"&gt;="&amp;B44,'Tickets Recebidos'!$D:$D,"&lt;"&amp;EDATE(B44,1),'Tickets Recebidos'!Q:Q,"=6",'Tickets Recebidos'!O:O,"&gt;=4")+COUNTIFS('Tickets Recebidos'!$D:$D,"&gt;="&amp;B44,'Tickets Recebidos'!$D:$D,"&lt;"&amp;EDATE(B44,1),'Tickets Recebidos'!Q:Q,"=7",'Tickets Recebidos'!O:O,"&gt;=4")+COUNTIFS('Tickets Recebidos'!$D:$D,"&gt;="&amp;B44,'Tickets Recebidos'!$D:$D,"&lt;"&amp;EDATE(B44,1),'Tickets Recebidos'!P:P,"&gt;14")</f>
        <v>0</v>
      </c>
      <c r="E44" s="39">
        <f ca="1">COUNTIFS('Tickets Recebidos'!$D:$D,"&gt;="&amp;B44,'Tickets Recebidos'!$D:$D,"&lt;"&amp;EDATE(B44,1),'Tickets Recebidos'!Q:Q,"",'Tickets Recebidos'!O:O,"&gt;=2")+COUNTIFS('Tickets Recebidos'!$D:$D,"&gt;="&amp;B44,'Tickets Recebidos'!$D:$D,"&lt;"&amp;EDATE(B44,1),'Tickets Recebidos'!Q:Q,"=1",'Tickets Recebidos'!O:O,"&gt;=3")+COUNTIFS('Tickets Recebidos'!$D:$D,"&gt;="&amp;B44,'Tickets Recebidos'!$D:$D,"&lt;"&amp;EDATE(B44,1),'Tickets Recebidos'!Q:Q,"=6",'Tickets Recebidos'!O:O,"&gt;=4")+COUNTIFS('Tickets Recebidos'!$D:$D,"&gt;="&amp;B44,'Tickets Recebidos'!$D:$D,"&lt;"&amp;EDATE(B44,1),'Tickets Recebidos'!Q:Q,"=7",'Tickets Recebidos'!O:O,"&gt;=4")</f>
        <v>0</v>
      </c>
      <c r="F44" s="39">
        <f ca="1">COUNTIFS('Tickets Recebidos'!$D:$D,"&gt;="&amp;B44,'Tickets Recebidos'!$D:$D,"&lt;"&amp;EDATE(B44,1),'Tickets Recebidos'!P:P,"&gt;14")</f>
        <v>0</v>
      </c>
      <c r="G44" s="18"/>
      <c r="H44" s="69"/>
      <c r="I44" s="69"/>
      <c r="N44" s="73">
        <f t="shared" ca="1" si="7"/>
        <v>43910</v>
      </c>
      <c r="O44" s="60" t="str">
        <f ca="1">IF((COUNTIFS('Tickets Recebidos'!$D:$D,"&gt;="&amp;N44,'Tickets Recebidos'!$D:$D,"&lt;"&amp;EDATE(N44,1),'Tickets Recebidos'!$B:$B,"="&amp;$Q$38))=0,"-",(COUNTIFS('Tickets Recebidos'!$D:$D,"&gt;="&amp;N44,'Tickets Recebidos'!$D:$D,"&lt;"&amp;EDATE(N44,1),'Tickets Recebidos'!$B:$B,"="&amp;$Q$38)))</f>
        <v>-</v>
      </c>
      <c r="P44" s="60">
        <f ca="1">COUNTIFS('Tickets Recebidos'!$D:$D,"&gt;="&amp;N44,'Tickets Recebidos'!$D:$D,"&lt;"&amp;EDATE(N44,1),'Tickets Recebidos'!Q:Q,"",'Tickets Recebidos'!O:O,"&gt;=2",'Tickets Recebidos'!B:B,"="&amp;$Q$38)+COUNTIFS('Tickets Recebidos'!$D:$D,"&gt;="&amp;N44,'Tickets Recebidos'!$D:$D,"&lt;"&amp;EDATE(N44,1),'Tickets Recebidos'!Q:Q,"=1",'Tickets Recebidos'!O:O,"&gt;=3",'Tickets Recebidos'!B:B,"="&amp;$Q$38)+COUNTIFS('Tickets Recebidos'!$D:$D,"&gt;="&amp;N44,'Tickets Recebidos'!$D:$D,"&lt;"&amp;EDATE(N44,1),'Tickets Recebidos'!Q:Q,"=6",'Tickets Recebidos'!O:O,"&gt;=4",'Tickets Recebidos'!B:B,"="&amp;$Q$38)+COUNTIFS('Tickets Recebidos'!$D:$D,"&gt;="&amp;N44,'Tickets Recebidos'!$D:$D,"&lt;"&amp;EDATE(N44,1),'Tickets Recebidos'!Q:Q,"=7",'Tickets Recebidos'!O:O,"&gt;=4",'Tickets Recebidos'!B:B,"="&amp;$Q$38)</f>
        <v>0</v>
      </c>
      <c r="Q44" s="60">
        <f ca="1">COUNTIFS('Tickets Recebidos'!$D:$D,"&gt;="&amp;N44,'Tickets Recebidos'!$D:$D,"&lt;"&amp;EDATE(N44,1),'Tickets Recebidos'!P:P,"&gt;14",'Tickets Recebidos'!B:B,"="&amp;$Q$38)</f>
        <v>0</v>
      </c>
      <c r="R44" s="90" t="e">
        <f t="shared" ca="1" si="8"/>
        <v>#VALUE!</v>
      </c>
    </row>
    <row r="45" spans="2:19" ht="12.75" customHeight="1">
      <c r="B45" s="170">
        <f t="shared" ca="1" si="6"/>
        <v>43941</v>
      </c>
      <c r="C45" s="5">
        <f ca="1">IF((COUNTIFS('Tickets Recebidos'!$D:$D,"&gt;="&amp;$B45,'Tickets Recebidos'!$D:$D,"&lt;"&amp;EDATE($B45,1)))=0,"-",(COUNTIFS('Tickets Recebidos'!$D:$D,"&gt;="&amp;$B45,'Tickets Recebidos'!$D:$D,"&lt;"&amp;EDATE($B45,1))))</f>
        <v>1</v>
      </c>
      <c r="D45" s="5">
        <f ca="1">COUNTIFS('Tickets Recebidos'!$D:$D,"&gt;="&amp;B45,'Tickets Recebidos'!$D:$D,"&lt;"&amp;EDATE(B45,1),'Tickets Recebidos'!Q:Q,"",'Tickets Recebidos'!O:O,"&gt;=2")+COUNTIFS('Tickets Recebidos'!$D:$D,"&gt;="&amp;B45,'Tickets Recebidos'!$D:$D,"&lt;"&amp;EDATE(B45,1),'Tickets Recebidos'!Q:Q,"=1",'Tickets Recebidos'!O:O,"&gt;=3")+COUNTIFS('Tickets Recebidos'!$D:$D,"&gt;="&amp;B45,'Tickets Recebidos'!$D:$D,"&lt;"&amp;EDATE(B45,1),'Tickets Recebidos'!Q:Q,"=6",'Tickets Recebidos'!O:O,"&gt;=4")+COUNTIFS('Tickets Recebidos'!$D:$D,"&gt;="&amp;B45,'Tickets Recebidos'!$D:$D,"&lt;"&amp;EDATE(B45,1),'Tickets Recebidos'!Q:Q,"=7",'Tickets Recebidos'!O:O,"&gt;=4")+COUNTIFS('Tickets Recebidos'!$D:$D,"&gt;="&amp;B45,'Tickets Recebidos'!$D:$D,"&lt;"&amp;EDATE(B45,1),'Tickets Recebidos'!P:P,"&gt;14")</f>
        <v>0</v>
      </c>
      <c r="E45" s="5">
        <f ca="1">COUNTIFS('Tickets Recebidos'!$D:$D,"&gt;="&amp;B45,'Tickets Recebidos'!$D:$D,"&lt;"&amp;EDATE(B45,1),'Tickets Recebidos'!Q:Q,"",'Tickets Recebidos'!O:O,"&gt;=2")+COUNTIFS('Tickets Recebidos'!$D:$D,"&gt;="&amp;B45,'Tickets Recebidos'!$D:$D,"&lt;"&amp;EDATE(B45,1),'Tickets Recebidos'!Q:Q,"=1",'Tickets Recebidos'!O:O,"&gt;=3")+COUNTIFS('Tickets Recebidos'!$D:$D,"&gt;="&amp;B45,'Tickets Recebidos'!$D:$D,"&lt;"&amp;EDATE(B45,1),'Tickets Recebidos'!Q:Q,"=6",'Tickets Recebidos'!O:O,"&gt;=4")+COUNTIFS('Tickets Recebidos'!$D:$D,"&gt;="&amp;B45,'Tickets Recebidos'!$D:$D,"&lt;"&amp;EDATE(B45,1),'Tickets Recebidos'!Q:Q,"=7",'Tickets Recebidos'!O:O,"&gt;=4")</f>
        <v>0</v>
      </c>
      <c r="F45" s="5">
        <f ca="1">COUNTIFS('Tickets Recebidos'!$D:$D,"&gt;="&amp;B45,'Tickets Recebidos'!$D:$D,"&lt;"&amp;EDATE(B45,1),'Tickets Recebidos'!P:P,"&gt;14")</f>
        <v>0</v>
      </c>
      <c r="G45" s="18"/>
      <c r="H45" s="69"/>
      <c r="I45" s="69"/>
      <c r="N45" s="72">
        <f t="shared" ca="1" si="7"/>
        <v>43941</v>
      </c>
      <c r="O45" s="61" t="str">
        <f ca="1">IF((COUNTIFS('Tickets Recebidos'!$D:$D,"&gt;="&amp;N45,'Tickets Recebidos'!$D:$D,"&lt;"&amp;EDATE(N45,1),'Tickets Recebidos'!$B:$B,"="&amp;$Q$38))=0,"-",(COUNTIFS('Tickets Recebidos'!$D:$D,"&gt;="&amp;N45,'Tickets Recebidos'!$D:$D,"&lt;"&amp;EDATE(N45,1),'Tickets Recebidos'!$B:$B,"="&amp;$Q$38)))</f>
        <v>-</v>
      </c>
      <c r="P45" s="61">
        <f ca="1">COUNTIFS('Tickets Recebidos'!$D:$D,"&gt;="&amp;N45,'Tickets Recebidos'!$D:$D,"&lt;"&amp;EDATE(N45,1),'Tickets Recebidos'!Q:Q,"",'Tickets Recebidos'!O:O,"&gt;=2",'Tickets Recebidos'!B:B,"="&amp;$Q$38)+COUNTIFS('Tickets Recebidos'!$D:$D,"&gt;="&amp;N45,'Tickets Recebidos'!$D:$D,"&lt;"&amp;EDATE(N45,1),'Tickets Recebidos'!Q:Q,"=1",'Tickets Recebidos'!O:O,"&gt;=3",'Tickets Recebidos'!B:B,"="&amp;$Q$38)+COUNTIFS('Tickets Recebidos'!$D:$D,"&gt;="&amp;N45,'Tickets Recebidos'!$D:$D,"&lt;"&amp;EDATE(N45,1),'Tickets Recebidos'!Q:Q,"=6",'Tickets Recebidos'!O:O,"&gt;=4",'Tickets Recebidos'!B:B,"="&amp;$Q$38)+COUNTIFS('Tickets Recebidos'!$D:$D,"&gt;="&amp;N45,'Tickets Recebidos'!$D:$D,"&lt;"&amp;EDATE(N45,1),'Tickets Recebidos'!Q:Q,"=7",'Tickets Recebidos'!O:O,"&gt;=4",'Tickets Recebidos'!B:B,"="&amp;$Q$38)</f>
        <v>0</v>
      </c>
      <c r="Q45" s="61">
        <f ca="1">COUNTIFS('Tickets Recebidos'!$D:$D,"&gt;="&amp;N45,'Tickets Recebidos'!$D:$D,"&lt;"&amp;EDATE(N45,1),'Tickets Recebidos'!P:P,"&gt;14",'Tickets Recebidos'!B:B,"="&amp;$Q$38)</f>
        <v>0</v>
      </c>
      <c r="R45" s="90" t="e">
        <f t="shared" ca="1" si="8"/>
        <v>#VALUE!</v>
      </c>
    </row>
    <row r="46" spans="2:19" ht="12.75" customHeight="1">
      <c r="B46" s="169">
        <f t="shared" ca="1" si="6"/>
        <v>43971</v>
      </c>
      <c r="C46" s="39" t="str">
        <f ca="1">IF((COUNTIFS('Tickets Recebidos'!$D:$D,"&gt;="&amp;$B46,'Tickets Recebidos'!$D:$D,"&lt;"&amp;EDATE($B46,1)))=0,"-",(COUNTIFS('Tickets Recebidos'!$D:$D,"&gt;="&amp;$B46,'Tickets Recebidos'!$D:$D,"&lt;"&amp;EDATE($B46,1))))</f>
        <v>-</v>
      </c>
      <c r="D46" s="39">
        <f ca="1">COUNTIFS('Tickets Recebidos'!$D:$D,"&gt;="&amp;B46,'Tickets Recebidos'!$D:$D,"&lt;"&amp;EDATE(B46,1),'Tickets Recebidos'!Q:Q,"",'Tickets Recebidos'!O:O,"&gt;=2")+COUNTIFS('Tickets Recebidos'!$D:$D,"&gt;="&amp;B46,'Tickets Recebidos'!$D:$D,"&lt;"&amp;EDATE(B46,1),'Tickets Recebidos'!Q:Q,"=1",'Tickets Recebidos'!O:O,"&gt;=3")+COUNTIFS('Tickets Recebidos'!$D:$D,"&gt;="&amp;B46,'Tickets Recebidos'!$D:$D,"&lt;"&amp;EDATE(B46,1),'Tickets Recebidos'!Q:Q,"=6",'Tickets Recebidos'!O:O,"&gt;=4")+COUNTIFS('Tickets Recebidos'!$D:$D,"&gt;="&amp;B46,'Tickets Recebidos'!$D:$D,"&lt;"&amp;EDATE(B46,1),'Tickets Recebidos'!Q:Q,"=7",'Tickets Recebidos'!O:O,"&gt;=4")+COUNTIFS('Tickets Recebidos'!$D:$D,"&gt;="&amp;B46,'Tickets Recebidos'!$D:$D,"&lt;"&amp;EDATE(B46,1),'Tickets Recebidos'!P:P,"&gt;14")</f>
        <v>0</v>
      </c>
      <c r="E46" s="39">
        <f ca="1">COUNTIFS('Tickets Recebidos'!$D:$D,"&gt;="&amp;B46,'Tickets Recebidos'!$D:$D,"&lt;"&amp;EDATE(B46,1),'Tickets Recebidos'!Q:Q,"",'Tickets Recebidos'!O:O,"&gt;=2")+COUNTIFS('Tickets Recebidos'!$D:$D,"&gt;="&amp;B46,'Tickets Recebidos'!$D:$D,"&lt;"&amp;EDATE(B46,1),'Tickets Recebidos'!Q:Q,"=1",'Tickets Recebidos'!O:O,"&gt;=3")+COUNTIFS('Tickets Recebidos'!$D:$D,"&gt;="&amp;B46,'Tickets Recebidos'!$D:$D,"&lt;"&amp;EDATE(B46,1),'Tickets Recebidos'!Q:Q,"=6",'Tickets Recebidos'!O:O,"&gt;=4")+COUNTIFS('Tickets Recebidos'!$D:$D,"&gt;="&amp;B46,'Tickets Recebidos'!$D:$D,"&lt;"&amp;EDATE(B46,1),'Tickets Recebidos'!Q:Q,"=7",'Tickets Recebidos'!O:O,"&gt;=4")</f>
        <v>0</v>
      </c>
      <c r="F46" s="39">
        <f ca="1">COUNTIFS('Tickets Recebidos'!$D:$D,"&gt;="&amp;B46,'Tickets Recebidos'!$D:$D,"&lt;"&amp;EDATE(B46,1),'Tickets Recebidos'!P:P,"&gt;14")</f>
        <v>0</v>
      </c>
      <c r="G46" s="18"/>
      <c r="H46" s="69"/>
      <c r="I46" s="69"/>
      <c r="N46" s="73">
        <f t="shared" ca="1" si="7"/>
        <v>43971</v>
      </c>
      <c r="O46" s="60" t="str">
        <f ca="1">IF((COUNTIFS('Tickets Recebidos'!$D:$D,"&gt;="&amp;N46,'Tickets Recebidos'!$D:$D,"&lt;"&amp;EDATE(N46,1),'Tickets Recebidos'!$B:$B,"="&amp;$Q$38))=0,"-",(COUNTIFS('Tickets Recebidos'!$D:$D,"&gt;="&amp;N46,'Tickets Recebidos'!$D:$D,"&lt;"&amp;EDATE(N46,1),'Tickets Recebidos'!$B:$B,"="&amp;$Q$38)))</f>
        <v>-</v>
      </c>
      <c r="P46" s="60">
        <f ca="1">COUNTIFS('Tickets Recebidos'!$D:$D,"&gt;="&amp;N46,'Tickets Recebidos'!$D:$D,"&lt;"&amp;EDATE(N46,1),'Tickets Recebidos'!Q:Q,"",'Tickets Recebidos'!O:O,"&gt;=2",'Tickets Recebidos'!B:B,"="&amp;$Q$38)+COUNTIFS('Tickets Recebidos'!$D:$D,"&gt;="&amp;N46,'Tickets Recebidos'!$D:$D,"&lt;"&amp;EDATE(N46,1),'Tickets Recebidos'!Q:Q,"=1",'Tickets Recebidos'!O:O,"&gt;=3",'Tickets Recebidos'!B:B,"="&amp;$Q$38)+COUNTIFS('Tickets Recebidos'!$D:$D,"&gt;="&amp;N46,'Tickets Recebidos'!$D:$D,"&lt;"&amp;EDATE(N46,1),'Tickets Recebidos'!Q:Q,"=6",'Tickets Recebidos'!O:O,"&gt;=4",'Tickets Recebidos'!B:B,"="&amp;$Q$38)+COUNTIFS('Tickets Recebidos'!$D:$D,"&gt;="&amp;N46,'Tickets Recebidos'!$D:$D,"&lt;"&amp;EDATE(N46,1),'Tickets Recebidos'!Q:Q,"=7",'Tickets Recebidos'!O:O,"&gt;=4",'Tickets Recebidos'!B:B,"="&amp;$Q$38)</f>
        <v>0</v>
      </c>
      <c r="Q46" s="60">
        <f ca="1">COUNTIFS('Tickets Recebidos'!$D:$D,"&gt;="&amp;N46,'Tickets Recebidos'!$D:$D,"&lt;"&amp;EDATE(N46,1),'Tickets Recebidos'!P:P,"&gt;14",'Tickets Recebidos'!B:B,"="&amp;$Q$38)</f>
        <v>0</v>
      </c>
      <c r="R46" s="90" t="e">
        <f t="shared" ca="1" si="8"/>
        <v>#VALUE!</v>
      </c>
    </row>
    <row r="47" spans="2:19" ht="12.75" customHeight="1">
      <c r="B47" s="170">
        <f t="shared" ca="1" si="6"/>
        <v>44002</v>
      </c>
      <c r="C47" s="5">
        <f ca="1">IF((COUNTIFS('Tickets Recebidos'!$D:$D,"&gt;="&amp;$B47,'Tickets Recebidos'!$D:$D,"&lt;"&amp;EDATE($B47,1)))=0,"-",(COUNTIFS('Tickets Recebidos'!$D:$D,"&gt;="&amp;$B47,'Tickets Recebidos'!$D:$D,"&lt;"&amp;EDATE($B47,1))))</f>
        <v>3</v>
      </c>
      <c r="D47" s="5">
        <f ca="1">COUNTIFS('Tickets Recebidos'!$D:$D,"&gt;="&amp;B47,'Tickets Recebidos'!$D:$D,"&lt;"&amp;EDATE(B47,1),'Tickets Recebidos'!Q:Q,"",'Tickets Recebidos'!O:O,"&gt;=2")+COUNTIFS('Tickets Recebidos'!$D:$D,"&gt;="&amp;B47,'Tickets Recebidos'!$D:$D,"&lt;"&amp;EDATE(B47,1),'Tickets Recebidos'!Q:Q,"=1",'Tickets Recebidos'!O:O,"&gt;=3")+COUNTIFS('Tickets Recebidos'!$D:$D,"&gt;="&amp;B47,'Tickets Recebidos'!$D:$D,"&lt;"&amp;EDATE(B47,1),'Tickets Recebidos'!Q:Q,"=6",'Tickets Recebidos'!O:O,"&gt;=4")+COUNTIFS('Tickets Recebidos'!$D:$D,"&gt;="&amp;B47,'Tickets Recebidos'!$D:$D,"&lt;"&amp;EDATE(B47,1),'Tickets Recebidos'!Q:Q,"=7",'Tickets Recebidos'!O:O,"&gt;=4")+COUNTIFS('Tickets Recebidos'!$D:$D,"&gt;="&amp;B47,'Tickets Recebidos'!$D:$D,"&lt;"&amp;EDATE(B47,1),'Tickets Recebidos'!P:P,"&gt;14")</f>
        <v>5</v>
      </c>
      <c r="E47" s="5">
        <f ca="1">COUNTIFS('Tickets Recebidos'!$D:$D,"&gt;="&amp;B47,'Tickets Recebidos'!$D:$D,"&lt;"&amp;EDATE(B47,1),'Tickets Recebidos'!Q:Q,"",'Tickets Recebidos'!O:O,"&gt;=2")+COUNTIFS('Tickets Recebidos'!$D:$D,"&gt;="&amp;B47,'Tickets Recebidos'!$D:$D,"&lt;"&amp;EDATE(B47,1),'Tickets Recebidos'!Q:Q,"=1",'Tickets Recebidos'!O:O,"&gt;=3")+COUNTIFS('Tickets Recebidos'!$D:$D,"&gt;="&amp;B47,'Tickets Recebidos'!$D:$D,"&lt;"&amp;EDATE(B47,1),'Tickets Recebidos'!Q:Q,"=6",'Tickets Recebidos'!O:O,"&gt;=4")+COUNTIFS('Tickets Recebidos'!$D:$D,"&gt;="&amp;B47,'Tickets Recebidos'!$D:$D,"&lt;"&amp;EDATE(B47,1),'Tickets Recebidos'!Q:Q,"=7",'Tickets Recebidos'!O:O,"&gt;=4")</f>
        <v>2</v>
      </c>
      <c r="F47" s="5">
        <f ca="1">COUNTIFS('Tickets Recebidos'!$D:$D,"&gt;="&amp;B47,'Tickets Recebidos'!$D:$D,"&lt;"&amp;EDATE(B47,1),'Tickets Recebidos'!P:P,"&gt;14")</f>
        <v>3</v>
      </c>
      <c r="G47" s="18"/>
      <c r="H47" s="69"/>
      <c r="I47" s="69"/>
      <c r="N47" s="72">
        <f t="shared" ca="1" si="7"/>
        <v>44002</v>
      </c>
      <c r="O47" s="61" t="str">
        <f ca="1">IF((COUNTIFS('Tickets Recebidos'!$D:$D,"&gt;="&amp;N47,'Tickets Recebidos'!$D:$D,"&lt;"&amp;EDATE(N47,1),'Tickets Recebidos'!$B:$B,"="&amp;$Q$38))=0,"-",(COUNTIFS('Tickets Recebidos'!$D:$D,"&gt;="&amp;N47,'Tickets Recebidos'!$D:$D,"&lt;"&amp;EDATE(N47,1),'Tickets Recebidos'!$B:$B,"="&amp;$Q$38)))</f>
        <v>-</v>
      </c>
      <c r="P47" s="61">
        <f ca="1">COUNTIFS('Tickets Recebidos'!$D:$D,"&gt;="&amp;N47,'Tickets Recebidos'!$D:$D,"&lt;"&amp;EDATE(N47,1),'Tickets Recebidos'!Q:Q,"",'Tickets Recebidos'!O:O,"&gt;=2",'Tickets Recebidos'!B:B,"="&amp;$Q$38)+COUNTIFS('Tickets Recebidos'!$D:$D,"&gt;="&amp;N47,'Tickets Recebidos'!$D:$D,"&lt;"&amp;EDATE(N47,1),'Tickets Recebidos'!Q:Q,"=1",'Tickets Recebidos'!O:O,"&gt;=3",'Tickets Recebidos'!B:B,"="&amp;$Q$38)+COUNTIFS('Tickets Recebidos'!$D:$D,"&gt;="&amp;N47,'Tickets Recebidos'!$D:$D,"&lt;"&amp;EDATE(N47,1),'Tickets Recebidos'!Q:Q,"=6",'Tickets Recebidos'!O:O,"&gt;=4",'Tickets Recebidos'!B:B,"="&amp;$Q$38)+COUNTIFS('Tickets Recebidos'!$D:$D,"&gt;="&amp;N47,'Tickets Recebidos'!$D:$D,"&lt;"&amp;EDATE(N47,1),'Tickets Recebidos'!Q:Q,"=7",'Tickets Recebidos'!O:O,"&gt;=4",'Tickets Recebidos'!B:B,"="&amp;$Q$38)</f>
        <v>0</v>
      </c>
      <c r="Q47" s="61">
        <f ca="1">COUNTIFS('Tickets Recebidos'!$D:$D,"&gt;="&amp;N47,'Tickets Recebidos'!$D:$D,"&lt;"&amp;EDATE(N47,1),'Tickets Recebidos'!P:P,"&gt;14",'Tickets Recebidos'!B:B,"="&amp;$Q$38)</f>
        <v>0</v>
      </c>
      <c r="R47" s="90" t="e">
        <f t="shared" ca="1" si="8"/>
        <v>#VALUE!</v>
      </c>
    </row>
    <row r="48" spans="2:19" ht="12.75" customHeight="1">
      <c r="B48" s="169">
        <f t="shared" ca="1" si="6"/>
        <v>44032</v>
      </c>
      <c r="C48" s="39">
        <f ca="1">IF((COUNTIFS('Tickets Recebidos'!$D:$D,"&gt;="&amp;$B48,'Tickets Recebidos'!$D:$D,"&lt;"&amp;EDATE($B48,1)))=0,"-",(COUNTIFS('Tickets Recebidos'!$D:$D,"&gt;="&amp;$B48,'Tickets Recebidos'!$D:$D,"&lt;"&amp;EDATE($B48,1))))</f>
        <v>14</v>
      </c>
      <c r="D48" s="39">
        <f ca="1">COUNTIFS('Tickets Recebidos'!$D:$D,"&gt;="&amp;B48,'Tickets Recebidos'!$D:$D,"&lt;"&amp;EDATE(B48,1),'Tickets Recebidos'!Q:Q,"",'Tickets Recebidos'!O:O,"&gt;=2")+COUNTIFS('Tickets Recebidos'!$D:$D,"&gt;="&amp;B48,'Tickets Recebidos'!$D:$D,"&lt;"&amp;EDATE(B48,1),'Tickets Recebidos'!Q:Q,"=1",'Tickets Recebidos'!O:O,"&gt;=3")+COUNTIFS('Tickets Recebidos'!$D:$D,"&gt;="&amp;B48,'Tickets Recebidos'!$D:$D,"&lt;"&amp;EDATE(B48,1),'Tickets Recebidos'!Q:Q,"=6",'Tickets Recebidos'!O:O,"&gt;=4")+COUNTIFS('Tickets Recebidos'!$D:$D,"&gt;="&amp;B48,'Tickets Recebidos'!$D:$D,"&lt;"&amp;EDATE(B48,1),'Tickets Recebidos'!Q:Q,"=7",'Tickets Recebidos'!O:O,"&gt;=4")+COUNTIFS('Tickets Recebidos'!$D:$D,"&gt;="&amp;B48,'Tickets Recebidos'!$D:$D,"&lt;"&amp;EDATE(B48,1),'Tickets Recebidos'!P:P,"&gt;14")</f>
        <v>10</v>
      </c>
      <c r="E48" s="39">
        <f ca="1">COUNTIFS('Tickets Recebidos'!$D:$D,"&gt;="&amp;B48,'Tickets Recebidos'!$D:$D,"&lt;"&amp;EDATE(B48,1),'Tickets Recebidos'!Q:Q,"",'Tickets Recebidos'!O:O,"&gt;=2")+COUNTIFS('Tickets Recebidos'!$D:$D,"&gt;="&amp;B48,'Tickets Recebidos'!$D:$D,"&lt;"&amp;EDATE(B48,1),'Tickets Recebidos'!Q:Q,"=1",'Tickets Recebidos'!O:O,"&gt;=3")+COUNTIFS('Tickets Recebidos'!$D:$D,"&gt;="&amp;B48,'Tickets Recebidos'!$D:$D,"&lt;"&amp;EDATE(B48,1),'Tickets Recebidos'!Q:Q,"=6",'Tickets Recebidos'!O:O,"&gt;=4")+COUNTIFS('Tickets Recebidos'!$D:$D,"&gt;="&amp;B48,'Tickets Recebidos'!$D:$D,"&lt;"&amp;EDATE(B48,1),'Tickets Recebidos'!Q:Q,"=7",'Tickets Recebidos'!O:O,"&gt;=4")</f>
        <v>4</v>
      </c>
      <c r="F48" s="39">
        <f ca="1">COUNTIFS('Tickets Recebidos'!$D:$D,"&gt;="&amp;B48,'Tickets Recebidos'!$D:$D,"&lt;"&amp;EDATE(B48,1),'Tickets Recebidos'!P:P,"&gt;14")</f>
        <v>6</v>
      </c>
      <c r="G48" s="18"/>
      <c r="H48" s="69"/>
      <c r="I48" s="69"/>
      <c r="N48" s="73">
        <f t="shared" ca="1" si="7"/>
        <v>44032</v>
      </c>
      <c r="O48" s="60" t="str">
        <f ca="1">IF((COUNTIFS('Tickets Recebidos'!$D:$D,"&gt;="&amp;N48,'Tickets Recebidos'!$D:$D,"&lt;"&amp;EDATE(N48,1),'Tickets Recebidos'!$B:$B,"="&amp;$Q$38))=0,"-",(COUNTIFS('Tickets Recebidos'!$D:$D,"&gt;="&amp;N48,'Tickets Recebidos'!$D:$D,"&lt;"&amp;EDATE(N48,1),'Tickets Recebidos'!$B:$B,"="&amp;$Q$38)))</f>
        <v>-</v>
      </c>
      <c r="P48" s="60">
        <f ca="1">COUNTIFS('Tickets Recebidos'!$D:$D,"&gt;="&amp;N48,'Tickets Recebidos'!$D:$D,"&lt;"&amp;EDATE(N48,1),'Tickets Recebidos'!Q:Q,"",'Tickets Recebidos'!O:O,"&gt;=2",'Tickets Recebidos'!B:B,"="&amp;$Q$38)+COUNTIFS('Tickets Recebidos'!$D:$D,"&gt;="&amp;N48,'Tickets Recebidos'!$D:$D,"&lt;"&amp;EDATE(N48,1),'Tickets Recebidos'!Q:Q,"=1",'Tickets Recebidos'!O:O,"&gt;=3",'Tickets Recebidos'!B:B,"="&amp;$Q$38)+COUNTIFS('Tickets Recebidos'!$D:$D,"&gt;="&amp;N48,'Tickets Recebidos'!$D:$D,"&lt;"&amp;EDATE(N48,1),'Tickets Recebidos'!Q:Q,"=6",'Tickets Recebidos'!O:O,"&gt;=4",'Tickets Recebidos'!B:B,"="&amp;$Q$38)+COUNTIFS('Tickets Recebidos'!$D:$D,"&gt;="&amp;N48,'Tickets Recebidos'!$D:$D,"&lt;"&amp;EDATE(N48,1),'Tickets Recebidos'!Q:Q,"=7",'Tickets Recebidos'!O:O,"&gt;=4",'Tickets Recebidos'!B:B,"="&amp;$Q$38)</f>
        <v>0</v>
      </c>
      <c r="Q48" s="60">
        <f ca="1">COUNTIFS('Tickets Recebidos'!$D:$D,"&gt;="&amp;N48,'Tickets Recebidos'!$D:$D,"&lt;"&amp;EDATE(N48,1),'Tickets Recebidos'!P:P,"&gt;14",'Tickets Recebidos'!B:B,"="&amp;$Q$38)</f>
        <v>0</v>
      </c>
      <c r="R48" s="90" t="e">
        <f t="shared" ca="1" si="8"/>
        <v>#VALUE!</v>
      </c>
    </row>
    <row r="49" spans="2:18" ht="12.75" customHeight="1">
      <c r="B49" s="170">
        <f t="shared" ca="1" si="6"/>
        <v>44063</v>
      </c>
      <c r="C49" s="5">
        <f ca="1">IF((COUNTIFS('Tickets Recebidos'!$D:$D,"&gt;="&amp;$B49,'Tickets Recebidos'!$D:$D,"&lt;"&amp;EDATE($B49,1)))=0,"-",(COUNTIFS('Tickets Recebidos'!$D:$D,"&gt;="&amp;$B49,'Tickets Recebidos'!$D:$D,"&lt;"&amp;EDATE($B49,1))))</f>
        <v>14</v>
      </c>
      <c r="D49" s="5">
        <f ca="1">COUNTIFS('Tickets Recebidos'!$D:$D,"&gt;="&amp;B49,'Tickets Recebidos'!$D:$D,"&lt;"&amp;EDATE(B49,1),'Tickets Recebidos'!Q:Q,"",'Tickets Recebidos'!O:O,"&gt;=2")+COUNTIFS('Tickets Recebidos'!$D:$D,"&gt;="&amp;B49,'Tickets Recebidos'!$D:$D,"&lt;"&amp;EDATE(B49,1),'Tickets Recebidos'!Q:Q,"=1",'Tickets Recebidos'!O:O,"&gt;=3")+COUNTIFS('Tickets Recebidos'!$D:$D,"&gt;="&amp;B49,'Tickets Recebidos'!$D:$D,"&lt;"&amp;EDATE(B49,1),'Tickets Recebidos'!Q:Q,"=6",'Tickets Recebidos'!O:O,"&gt;=4")+COUNTIFS('Tickets Recebidos'!$D:$D,"&gt;="&amp;B49,'Tickets Recebidos'!$D:$D,"&lt;"&amp;EDATE(B49,1),'Tickets Recebidos'!Q:Q,"=7",'Tickets Recebidos'!O:O,"&gt;=4")+COUNTIFS('Tickets Recebidos'!$D:$D,"&gt;="&amp;B49,'Tickets Recebidos'!$D:$D,"&lt;"&amp;EDATE(B49,1),'Tickets Recebidos'!P:P,"&gt;14")</f>
        <v>4</v>
      </c>
      <c r="E49" s="5">
        <f ca="1">COUNTIFS('Tickets Recebidos'!$D:$D,"&gt;="&amp;B49,'Tickets Recebidos'!$D:$D,"&lt;"&amp;EDATE(B49,1),'Tickets Recebidos'!Q:Q,"",'Tickets Recebidos'!O:O,"&gt;=2")+COUNTIFS('Tickets Recebidos'!$D:$D,"&gt;="&amp;B49,'Tickets Recebidos'!$D:$D,"&lt;"&amp;EDATE(B49,1),'Tickets Recebidos'!Q:Q,"=1",'Tickets Recebidos'!O:O,"&gt;=3")+COUNTIFS('Tickets Recebidos'!$D:$D,"&gt;="&amp;B49,'Tickets Recebidos'!$D:$D,"&lt;"&amp;EDATE(B49,1),'Tickets Recebidos'!Q:Q,"=6",'Tickets Recebidos'!O:O,"&gt;=4")+COUNTIFS('Tickets Recebidos'!$D:$D,"&gt;="&amp;B49,'Tickets Recebidos'!$D:$D,"&lt;"&amp;EDATE(B49,1),'Tickets Recebidos'!Q:Q,"=7",'Tickets Recebidos'!O:O,"&gt;=4")</f>
        <v>2</v>
      </c>
      <c r="F49" s="5">
        <f ca="1">COUNTIFS('Tickets Recebidos'!$D:$D,"&gt;="&amp;B49,'Tickets Recebidos'!$D:$D,"&lt;"&amp;EDATE(B49,1),'Tickets Recebidos'!P:P,"&gt;14")</f>
        <v>2</v>
      </c>
      <c r="G49" s="18"/>
      <c r="H49" s="69"/>
      <c r="I49" s="69"/>
      <c r="N49" s="72">
        <f t="shared" ca="1" si="7"/>
        <v>44063</v>
      </c>
      <c r="O49" s="61" t="str">
        <f ca="1">IF((COUNTIFS('Tickets Recebidos'!$D:$D,"&gt;="&amp;N49,'Tickets Recebidos'!$D:$D,"&lt;"&amp;EDATE(N49,1),'Tickets Recebidos'!$B:$B,"="&amp;$Q$38))=0,"-",(COUNTIFS('Tickets Recebidos'!$D:$D,"&gt;="&amp;N49,'Tickets Recebidos'!$D:$D,"&lt;"&amp;EDATE(N49,1),'Tickets Recebidos'!$B:$B,"="&amp;$Q$38)))</f>
        <v>-</v>
      </c>
      <c r="P49" s="61">
        <f ca="1">COUNTIFS('Tickets Recebidos'!$D:$D,"&gt;="&amp;N49,'Tickets Recebidos'!$D:$D,"&lt;"&amp;EDATE(N49,1),'Tickets Recebidos'!Q:Q,"",'Tickets Recebidos'!O:O,"&gt;=2",'Tickets Recebidos'!B:B,"="&amp;$Q$38)+COUNTIFS('Tickets Recebidos'!$D:$D,"&gt;="&amp;N49,'Tickets Recebidos'!$D:$D,"&lt;"&amp;EDATE(N49,1),'Tickets Recebidos'!Q:Q,"=1",'Tickets Recebidos'!O:O,"&gt;=3",'Tickets Recebidos'!B:B,"="&amp;$Q$38)+COUNTIFS('Tickets Recebidos'!$D:$D,"&gt;="&amp;N49,'Tickets Recebidos'!$D:$D,"&lt;"&amp;EDATE(N49,1),'Tickets Recebidos'!Q:Q,"=6",'Tickets Recebidos'!O:O,"&gt;=4",'Tickets Recebidos'!B:B,"="&amp;$Q$38)+COUNTIFS('Tickets Recebidos'!$D:$D,"&gt;="&amp;N49,'Tickets Recebidos'!$D:$D,"&lt;"&amp;EDATE(N49,1),'Tickets Recebidos'!Q:Q,"=7",'Tickets Recebidos'!O:O,"&gt;=4",'Tickets Recebidos'!B:B,"="&amp;$Q$38)</f>
        <v>0</v>
      </c>
      <c r="Q49" s="61">
        <f ca="1">COUNTIFS('Tickets Recebidos'!$D:$D,"&gt;="&amp;N49,'Tickets Recebidos'!$D:$D,"&lt;"&amp;EDATE(N49,1),'Tickets Recebidos'!P:P,"&gt;14",'Tickets Recebidos'!B:B,"="&amp;$Q$38)</f>
        <v>0</v>
      </c>
      <c r="R49" s="90" t="e">
        <f t="shared" ca="1" si="8"/>
        <v>#VALUE!</v>
      </c>
    </row>
    <row r="50" spans="2:18" ht="12.75" customHeight="1">
      <c r="B50" s="171">
        <f t="shared" ca="1" si="6"/>
        <v>44094</v>
      </c>
      <c r="C50" s="40">
        <f ca="1">IF((COUNTIFS('Tickets Recebidos'!$D:$D,"&gt;="&amp;$B50,'Tickets Recebidos'!$D:$D,"&lt;"&amp;EDATE($B50,1)))=0,"-",(COUNTIFS('Tickets Recebidos'!$D:$D,"&gt;="&amp;$B50,'Tickets Recebidos'!$D:$D,"&lt;"&amp;EDATE($B50,1))))</f>
        <v>19</v>
      </c>
      <c r="D50" s="40">
        <f ca="1">COUNTIFS('Tickets Recebidos'!$D:$D,"&gt;="&amp;B50,'Tickets Recebidos'!$D:$D,"&lt;"&amp;EDATE(B50,1),'Tickets Recebidos'!Q:Q,"",'Tickets Recebidos'!O:O,"&gt;=2")+COUNTIFS('Tickets Recebidos'!$D:$D,"&gt;="&amp;B50,'Tickets Recebidos'!$D:$D,"&lt;"&amp;EDATE(B50,1),'Tickets Recebidos'!Q:Q,"=1",'Tickets Recebidos'!O:O,"&gt;=3")+COUNTIFS('Tickets Recebidos'!$D:$D,"&gt;="&amp;B50,'Tickets Recebidos'!$D:$D,"&lt;"&amp;EDATE(B50,1),'Tickets Recebidos'!Q:Q,"=6",'Tickets Recebidos'!O:O,"&gt;=4")+COUNTIFS('Tickets Recebidos'!$D:$D,"&gt;="&amp;B50,'Tickets Recebidos'!$D:$D,"&lt;"&amp;EDATE(B50,1),'Tickets Recebidos'!Q:Q,"=7",'Tickets Recebidos'!O:O,"&gt;=4")+COUNTIFS('Tickets Recebidos'!$D:$D,"&gt;="&amp;B50,'Tickets Recebidos'!$D:$D,"&lt;"&amp;EDATE(B50,1),'Tickets Recebidos'!P:P,"&gt;14")</f>
        <v>12</v>
      </c>
      <c r="E50" s="40">
        <f ca="1">COUNTIFS('Tickets Recebidos'!$D:$D,"&gt;="&amp;B50,'Tickets Recebidos'!$D:$D,"&lt;"&amp;EDATE(B50,1),'Tickets Recebidos'!Q:Q,"",'Tickets Recebidos'!O:O,"&gt;=2")+COUNTIFS('Tickets Recebidos'!$D:$D,"&gt;="&amp;B50,'Tickets Recebidos'!$D:$D,"&lt;"&amp;EDATE(B50,1),'Tickets Recebidos'!Q:Q,"=1",'Tickets Recebidos'!O:O,"&gt;=3")+COUNTIFS('Tickets Recebidos'!$D:$D,"&gt;="&amp;B50,'Tickets Recebidos'!$D:$D,"&lt;"&amp;EDATE(B50,1),'Tickets Recebidos'!Q:Q,"=6",'Tickets Recebidos'!O:O,"&gt;=4")+COUNTIFS('Tickets Recebidos'!$D:$D,"&gt;="&amp;B50,'Tickets Recebidos'!$D:$D,"&lt;"&amp;EDATE(B50,1),'Tickets Recebidos'!Q:Q,"=7",'Tickets Recebidos'!O:O,"&gt;=4")</f>
        <v>6</v>
      </c>
      <c r="F50" s="39">
        <f ca="1">COUNTIFS('Tickets Recebidos'!$D:$D,"&gt;="&amp;B50,'Tickets Recebidos'!$D:$D,"&lt;"&amp;EDATE(B50,1),'Tickets Recebidos'!P:P,"&gt;14")</f>
        <v>6</v>
      </c>
      <c r="G50" s="18"/>
      <c r="H50" s="69"/>
      <c r="I50" s="69"/>
      <c r="N50" s="73">
        <f t="shared" ca="1" si="7"/>
        <v>44094</v>
      </c>
      <c r="O50" s="60" t="str">
        <f ca="1">IF((COUNTIFS('Tickets Recebidos'!$D:$D,"&gt;="&amp;N50,'Tickets Recebidos'!$D:$D,"&lt;"&amp;EDATE(N50,1),'Tickets Recebidos'!$B:$B,"="&amp;$Q$38))=0,"-",(COUNTIFS('Tickets Recebidos'!$D:$D,"&gt;="&amp;N50,'Tickets Recebidos'!$D:$D,"&lt;"&amp;EDATE(N50,1),'Tickets Recebidos'!$B:$B,"="&amp;$Q$38)))</f>
        <v>-</v>
      </c>
      <c r="P50" s="60">
        <f ca="1">COUNTIFS('Tickets Recebidos'!$D:$D,"&gt;="&amp;N50,'Tickets Recebidos'!$D:$D,"&lt;"&amp;EDATE(N50,1),'Tickets Recebidos'!Q:Q,"",'Tickets Recebidos'!O:O,"&gt;=2",'Tickets Recebidos'!B:B,"="&amp;$Q$38)+COUNTIFS('Tickets Recebidos'!$D:$D,"&gt;="&amp;N50,'Tickets Recebidos'!$D:$D,"&lt;"&amp;EDATE(N50,1),'Tickets Recebidos'!Q:Q,"=1",'Tickets Recebidos'!O:O,"&gt;=3",'Tickets Recebidos'!B:B,"="&amp;$Q$38)+COUNTIFS('Tickets Recebidos'!$D:$D,"&gt;="&amp;N50,'Tickets Recebidos'!$D:$D,"&lt;"&amp;EDATE(N50,1),'Tickets Recebidos'!Q:Q,"=6",'Tickets Recebidos'!O:O,"&gt;=4",'Tickets Recebidos'!B:B,"="&amp;$Q$38)+COUNTIFS('Tickets Recebidos'!$D:$D,"&gt;="&amp;N50,'Tickets Recebidos'!$D:$D,"&lt;"&amp;EDATE(N50,1),'Tickets Recebidos'!Q:Q,"=7",'Tickets Recebidos'!O:O,"&gt;=4",'Tickets Recebidos'!B:B,"="&amp;$Q$38)</f>
        <v>0</v>
      </c>
      <c r="Q50" s="60">
        <f ca="1">COUNTIFS('Tickets Recebidos'!$D:$D,"&gt;="&amp;N50,'Tickets Recebidos'!$D:$D,"&lt;"&amp;EDATE(N50,1),'Tickets Recebidos'!P:P,"&gt;14",'Tickets Recebidos'!B:B,"="&amp;$Q$38)</f>
        <v>0</v>
      </c>
      <c r="R50" s="90" t="e">
        <f t="shared" ca="1" si="8"/>
        <v>#VALUE!</v>
      </c>
    </row>
    <row r="51" spans="2:18" ht="12.75" customHeight="1">
      <c r="B51" s="172">
        <f ca="1">EDATE(B52,-1)</f>
        <v>44124</v>
      </c>
      <c r="C51" s="5">
        <f ca="1">IF((COUNTIFS('Tickets Recebidos'!$D:$D,"&gt;="&amp;$B51,'Tickets Recebidos'!$D:$D,"&lt;"&amp;EDATE($B51,1)))=0,"-",(COUNTIFS('Tickets Recebidos'!$D:$D,"&gt;="&amp;$B51,'Tickets Recebidos'!$D:$D,"&lt;"&amp;EDATE($B51,1))))</f>
        <v>5</v>
      </c>
      <c r="D51" s="5">
        <f ca="1">COUNTIFS('Tickets Recebidos'!$D:$D,"&gt;="&amp;B51,'Tickets Recebidos'!$D:$D,"&lt;"&amp;EDATE(B51,1),'Tickets Recebidos'!Q:Q,"",'Tickets Recebidos'!O:O,"&gt;=2")+COUNTIFS('Tickets Recebidos'!$D:$D,"&gt;="&amp;B51,'Tickets Recebidos'!$D:$D,"&lt;"&amp;EDATE(B51,1),'Tickets Recebidos'!Q:Q,"=1",'Tickets Recebidos'!O:O,"&gt;=3")+COUNTIFS('Tickets Recebidos'!$D:$D,"&gt;="&amp;B51,'Tickets Recebidos'!$D:$D,"&lt;"&amp;EDATE(B51,1),'Tickets Recebidos'!Q:Q,"=6",'Tickets Recebidos'!O:O,"&gt;=4")+COUNTIFS('Tickets Recebidos'!$D:$D,"&gt;="&amp;B51,'Tickets Recebidos'!$D:$D,"&lt;"&amp;EDATE(B51,1),'Tickets Recebidos'!Q:Q,"=7",'Tickets Recebidos'!O:O,"&gt;=4")+COUNTIFS('Tickets Recebidos'!$D:$D,"&gt;="&amp;B51,'Tickets Recebidos'!$D:$D,"&lt;"&amp;EDATE(B51,1),'Tickets Recebidos'!P:P,"&gt;14")</f>
        <v>3</v>
      </c>
      <c r="E51" s="5">
        <f ca="1">COUNTIFS('Tickets Recebidos'!$D:$D,"&gt;="&amp;B51,'Tickets Recebidos'!$D:$D,"&lt;"&amp;EDATE(B51,1),'Tickets Recebidos'!Q:Q,"",'Tickets Recebidos'!O:O,"&gt;=2")+COUNTIFS('Tickets Recebidos'!$D:$D,"&gt;="&amp;B51,'Tickets Recebidos'!$D:$D,"&lt;"&amp;EDATE(B51,1),'Tickets Recebidos'!Q:Q,"=1",'Tickets Recebidos'!O:O,"&gt;=3")+COUNTIFS('Tickets Recebidos'!$D:$D,"&gt;="&amp;B51,'Tickets Recebidos'!$D:$D,"&lt;"&amp;EDATE(B51,1),'Tickets Recebidos'!Q:Q,"=6",'Tickets Recebidos'!O:O,"&gt;=4")+COUNTIFS('Tickets Recebidos'!$D:$D,"&gt;="&amp;B51,'Tickets Recebidos'!$D:$D,"&lt;"&amp;EDATE(B51,1),'Tickets Recebidos'!Q:Q,"=7",'Tickets Recebidos'!O:O,"&gt;=4")</f>
        <v>3</v>
      </c>
      <c r="F51" s="5">
        <f ca="1">COUNTIFS('Tickets Recebidos'!$D:$D,"&gt;="&amp;B51,'Tickets Recebidos'!$D:$D,"&lt;"&amp;EDATE(B51,1),'Tickets Recebidos'!P:P,"&gt;14")</f>
        <v>0</v>
      </c>
      <c r="G51" s="18"/>
      <c r="H51" s="69"/>
      <c r="I51" s="69"/>
      <c r="N51" s="72">
        <f ca="1">EDATE(N52,-1)</f>
        <v>44124</v>
      </c>
      <c r="O51" s="61" t="str">
        <f ca="1">IF((COUNTIFS('Tickets Recebidos'!$D:$D,"&gt;="&amp;N51,'Tickets Recebidos'!$D:$D,"&lt;"&amp;EDATE(N51,1),'Tickets Recebidos'!$B:$B,"="&amp;$Q$38))=0,"-",(COUNTIFS('Tickets Recebidos'!$D:$D,"&gt;="&amp;N51,'Tickets Recebidos'!$D:$D,"&lt;"&amp;EDATE(N51,1),'Tickets Recebidos'!$B:$B,"="&amp;$Q$38)))</f>
        <v>-</v>
      </c>
      <c r="P51" s="61">
        <f ca="1">COUNTIFS('Tickets Recebidos'!$D:$D,"&gt;="&amp;N51,'Tickets Recebidos'!$D:$D,"&lt;"&amp;EDATE(N51,1),'Tickets Recebidos'!Q:Q,"",'Tickets Recebidos'!O:O,"&gt;=2",'Tickets Recebidos'!B:B,"="&amp;$Q$38)+COUNTIFS('Tickets Recebidos'!$D:$D,"&gt;="&amp;N51,'Tickets Recebidos'!$D:$D,"&lt;"&amp;EDATE(N51,1),'Tickets Recebidos'!Q:Q,"=1",'Tickets Recebidos'!O:O,"&gt;=3",'Tickets Recebidos'!B:B,"="&amp;$Q$38)+COUNTIFS('Tickets Recebidos'!$D:$D,"&gt;="&amp;N51,'Tickets Recebidos'!$D:$D,"&lt;"&amp;EDATE(N51,1),'Tickets Recebidos'!Q:Q,"=6",'Tickets Recebidos'!O:O,"&gt;=4",'Tickets Recebidos'!B:B,"="&amp;$Q$38)+COUNTIFS('Tickets Recebidos'!$D:$D,"&gt;="&amp;N51,'Tickets Recebidos'!$D:$D,"&lt;"&amp;EDATE(N51,1),'Tickets Recebidos'!Q:Q,"=7",'Tickets Recebidos'!O:O,"&gt;=4",'Tickets Recebidos'!B:B,"="&amp;$Q$38)</f>
        <v>0</v>
      </c>
      <c r="Q51" s="61">
        <f ca="1">COUNTIFS('Tickets Recebidos'!$D:$D,"&gt;="&amp;N51,'Tickets Recebidos'!$D:$D,"&lt;"&amp;EDATE(N51,1),'Tickets Recebidos'!P:P,"&gt;14",'Tickets Recebidos'!B:B,"="&amp;$Q$38)</f>
        <v>0</v>
      </c>
      <c r="R51" s="90" t="e">
        <f t="shared" ca="1" si="8"/>
        <v>#VALUE!</v>
      </c>
    </row>
    <row r="52" spans="2:18" ht="12.75" customHeight="1">
      <c r="B52" s="173" t="str">
        <f ca="1">TEXT(TODAY(),"mmm-yy")</f>
        <v>Nov-20</v>
      </c>
      <c r="C52" s="39">
        <f ca="1">IF((COUNTIFS('Tickets Recebidos'!$D:$D,"&gt;="&amp;$B52,'Tickets Recebidos'!$D:$D,"&lt;"&amp;EDATE($B52,1)))=0,"-",(COUNTIFS('Tickets Recebidos'!$D:$D,"&gt;="&amp;$B52,'Tickets Recebidos'!$D:$D,"&lt;"&amp;EDATE($B52,1))))</f>
        <v>3</v>
      </c>
      <c r="D52" s="39">
        <f ca="1">COUNTIFS('Tickets Recebidos'!$D:$D,"&gt;="&amp;B52,'Tickets Recebidos'!$D:$D,"&lt;"&amp;EDATE(B52,1),'Tickets Recebidos'!Q:Q,"",'Tickets Recebidos'!O:O,"&gt;=2")+COUNTIFS('Tickets Recebidos'!$D:$D,"&gt;="&amp;B52,'Tickets Recebidos'!$D:$D,"&lt;"&amp;EDATE(B52,1),'Tickets Recebidos'!Q:Q,"=1",'Tickets Recebidos'!O:O,"&gt;=3")+COUNTIFS('Tickets Recebidos'!$D:$D,"&gt;="&amp;B52,'Tickets Recebidos'!$D:$D,"&lt;"&amp;EDATE(B52,1),'Tickets Recebidos'!Q:Q,"=6",'Tickets Recebidos'!O:O,"&gt;=4")+COUNTIFS('Tickets Recebidos'!$D:$D,"&gt;="&amp;B52,'Tickets Recebidos'!$D:$D,"&lt;"&amp;EDATE(B52,1),'Tickets Recebidos'!Q:Q,"=7",'Tickets Recebidos'!O:O,"&gt;=4")+COUNTIFS('Tickets Recebidos'!$D:$D,"&gt;="&amp;B52,'Tickets Recebidos'!$D:$D,"&lt;"&amp;EDATE(B52,1),'Tickets Recebidos'!P:P,"&gt;14")</f>
        <v>0</v>
      </c>
      <c r="E52" s="39">
        <f ca="1">COUNTIFS('Tickets Recebidos'!$D:$D,"&gt;="&amp;B52,'Tickets Recebidos'!$D:$D,"&lt;"&amp;EDATE(B52,1),'Tickets Recebidos'!Q:Q,"",'Tickets Recebidos'!O:O,"&gt;=2")+COUNTIFS('Tickets Recebidos'!$D:$D,"&gt;="&amp;B52,'Tickets Recebidos'!$D:$D,"&lt;"&amp;EDATE(B52,1),'Tickets Recebidos'!Q:Q,"=1",'Tickets Recebidos'!O:O,"&gt;=3")+COUNTIFS('Tickets Recebidos'!$D:$D,"&gt;="&amp;B52,'Tickets Recebidos'!$D:$D,"&lt;"&amp;EDATE(B52,1),'Tickets Recebidos'!Q:Q,"=6",'Tickets Recebidos'!O:O,"&gt;=4")+COUNTIFS('Tickets Recebidos'!$D:$D,"&gt;="&amp;B52,'Tickets Recebidos'!$D:$D,"&lt;"&amp;EDATE(B52,1),'Tickets Recebidos'!Q:Q,"=7",'Tickets Recebidos'!O:O,"&gt;=4")</f>
        <v>0</v>
      </c>
      <c r="F52" s="39">
        <f ca="1">COUNTIFS('Tickets Recebidos'!$D:$D,"&gt;="&amp;B52,'Tickets Recebidos'!$D:$D,"&lt;"&amp;EDATE(B52,1),'Tickets Recebidos'!P:P,"&gt;14")</f>
        <v>0</v>
      </c>
      <c r="G52" s="18"/>
      <c r="H52" s="69"/>
      <c r="I52" s="69"/>
      <c r="N52" s="76" t="str">
        <f ca="1">B52</f>
        <v>Nov-20</v>
      </c>
      <c r="O52" s="62" t="str">
        <f ca="1">IF((COUNTIFS('Tickets Recebidos'!$D:$D,"&gt;="&amp;N52,'Tickets Recebidos'!$D:$D,"&lt;"&amp;EDATE(N52,1),'Tickets Recebidos'!$B:$B,"="&amp;$Q$38))=0,"-",(COUNTIFS('Tickets Recebidos'!$D:$D,"&gt;="&amp;N52,'Tickets Recebidos'!$D:$D,"&lt;"&amp;EDATE(N52,1),'Tickets Recebidos'!$B:$B,"="&amp;$Q$38)))</f>
        <v>-</v>
      </c>
      <c r="P52" s="62">
        <f ca="1">COUNTIFS('Tickets Recebidos'!$D:$D,"&gt;="&amp;N52,'Tickets Recebidos'!$D:$D,"&lt;"&amp;EDATE(N52,1),'Tickets Recebidos'!Q:Q,"",'Tickets Recebidos'!O:O,"&gt;=2",'Tickets Recebidos'!B:B,"="&amp;$Q$38)+COUNTIFS('Tickets Recebidos'!$D:$D,"&gt;="&amp;N52,'Tickets Recebidos'!$D:$D,"&lt;"&amp;EDATE(N52,1),'Tickets Recebidos'!Q:Q,"=1",'Tickets Recebidos'!O:O,"&gt;=3",'Tickets Recebidos'!B:B,"="&amp;$Q$38)+COUNTIFS('Tickets Recebidos'!$D:$D,"&gt;="&amp;N52,'Tickets Recebidos'!$D:$D,"&lt;"&amp;EDATE(N52,1),'Tickets Recebidos'!Q:Q,"=6",'Tickets Recebidos'!O:O,"&gt;=4",'Tickets Recebidos'!B:B,"="&amp;$Q$38)+COUNTIFS('Tickets Recebidos'!$D:$D,"&gt;="&amp;N52,'Tickets Recebidos'!$D:$D,"&lt;"&amp;EDATE(N52,1),'Tickets Recebidos'!Q:Q,"=7",'Tickets Recebidos'!O:O,"&gt;=4",'Tickets Recebidos'!B:B,"="&amp;$Q$38)</f>
        <v>0</v>
      </c>
      <c r="Q52" s="62">
        <f ca="1">COUNTIFS('Tickets Recebidos'!$D:$D,"&gt;="&amp;N52,'Tickets Recebidos'!$D:$D,"&lt;"&amp;EDATE(N52,1),'Tickets Recebidos'!P:P,"&gt;14",'Tickets Recebidos'!B:B,"="&amp;$Q$38)</f>
        <v>0</v>
      </c>
      <c r="R52" s="90" t="e">
        <f t="shared" ca="1" si="8"/>
        <v>#VALUE!</v>
      </c>
    </row>
    <row r="53" spans="2:18" ht="12.75" customHeight="1">
      <c r="B53" s="28" t="s">
        <v>2</v>
      </c>
      <c r="C53" s="32">
        <f t="shared" ref="C53:F53" ca="1" si="9">SUM(C40:C52)</f>
        <v>65</v>
      </c>
      <c r="D53" s="33">
        <f t="shared" ca="1" si="9"/>
        <v>37</v>
      </c>
      <c r="E53" s="168">
        <f t="shared" ca="1" si="9"/>
        <v>18</v>
      </c>
      <c r="F53" s="32">
        <f t="shared" ca="1" si="9"/>
        <v>19</v>
      </c>
      <c r="G53" s="18"/>
      <c r="N53" s="75" t="s">
        <v>41</v>
      </c>
      <c r="O53" s="87">
        <f ca="1">SUM(O40:O52)</f>
        <v>0</v>
      </c>
      <c r="P53" s="87">
        <f ca="1">COUNTIFS('Tickets Recebidos'!Q:Q,"",'Tickets Recebidos'!O:O,"&gt;=2",'Tickets Recebidos'!B:B,"="&amp;Q38)+COUNTIFS('Tickets Recebidos'!Q:Q,"=1",'Tickets Recebidos'!O:O,"&gt;=3",'Tickets Recebidos'!B:B,"="&amp;Q38)+COUNTIFS('Tickets Recebidos'!Q:Q,"=6",'Tickets Recebidos'!O:O,"&gt;=4",'Tickets Recebidos'!B:B,"="&amp;Q38)+COUNTIFS('Tickets Recebidos'!Q:Q,"=7",'Tickets Recebidos'!O:O,"&gt;=4",'Tickets Recebidos'!B:B,"="&amp;Q38)</f>
        <v>0</v>
      </c>
      <c r="Q53" s="29">
        <f ca="1">COUNTIFS('Tickets Recebidos'!P:P,"&gt;14",'Tickets Recebidos'!B:B,"="&amp;Q38)</f>
        <v>0</v>
      </c>
      <c r="R53" s="90">
        <f t="shared" ca="1" si="8"/>
        <v>0</v>
      </c>
    </row>
    <row r="54" spans="2:18" ht="6.75" customHeight="1"/>
    <row r="56" spans="2:18">
      <c r="B56" s="149"/>
      <c r="C56" s="150"/>
      <c r="D56" s="77"/>
      <c r="E56" s="150"/>
      <c r="F56" s="150"/>
      <c r="G56" s="150"/>
      <c r="H56" s="13"/>
      <c r="I56" s="13"/>
      <c r="J56" s="13"/>
      <c r="K56" s="139"/>
    </row>
    <row r="57" spans="2:18">
      <c r="B57" s="156"/>
      <c r="C57" s="150"/>
      <c r="D57" s="81"/>
      <c r="E57" s="133"/>
      <c r="F57" s="150"/>
      <c r="G57" s="150"/>
      <c r="I57" s="150"/>
      <c r="J57" s="150"/>
      <c r="K57" s="153"/>
      <c r="O57" s="153"/>
      <c r="P57" s="153"/>
    </row>
    <row r="58" spans="2:18">
      <c r="B58" s="157"/>
      <c r="C58" s="132"/>
      <c r="D58" s="81"/>
      <c r="E58" s="133"/>
      <c r="I58" s="134"/>
      <c r="J58" s="133"/>
    </row>
    <row r="59" spans="2:18">
      <c r="B59" s="132"/>
      <c r="C59" s="132"/>
      <c r="D59" s="81"/>
      <c r="E59" s="133"/>
      <c r="I59" s="155"/>
      <c r="J59" s="133"/>
    </row>
    <row r="60" spans="2:18">
      <c r="B60" s="132"/>
      <c r="C60" s="132"/>
      <c r="D60" s="81"/>
      <c r="E60" s="133"/>
      <c r="I60" s="154"/>
      <c r="J60" s="150"/>
    </row>
    <row r="61" spans="2:18">
      <c r="B61" s="132"/>
      <c r="C61" s="132"/>
      <c r="D61" s="81"/>
      <c r="E61" s="133"/>
      <c r="I61" s="77"/>
      <c r="J61" s="133"/>
    </row>
    <row r="62" spans="2:18">
      <c r="B62" s="132"/>
      <c r="C62" s="132"/>
      <c r="D62" s="81"/>
      <c r="E62" s="133"/>
      <c r="I62" s="134"/>
      <c r="J62" s="133"/>
    </row>
    <row r="63" spans="2:18">
      <c r="B63" s="132"/>
      <c r="C63" s="132"/>
      <c r="D63" s="81"/>
      <c r="E63" s="133"/>
      <c r="I63" s="134"/>
      <c r="J63" s="133"/>
    </row>
    <row r="64" spans="2:18">
      <c r="B64" s="132"/>
      <c r="C64" s="132"/>
      <c r="D64" s="81"/>
      <c r="E64" s="133"/>
      <c r="I64" s="134"/>
      <c r="J64" s="133"/>
    </row>
    <row r="65" spans="2:10">
      <c r="B65" s="132"/>
      <c r="C65" s="132"/>
      <c r="D65" s="81"/>
      <c r="E65" s="133"/>
      <c r="I65" s="134"/>
      <c r="J65" s="133"/>
    </row>
    <row r="66" spans="2:10">
      <c r="B66" s="132"/>
      <c r="C66" s="132"/>
      <c r="D66" s="81"/>
      <c r="E66" s="133"/>
      <c r="I66" s="134"/>
      <c r="J66" s="133"/>
    </row>
  </sheetData>
  <sheetProtection sort="0" autoFilter="0" pivotTables="0"/>
  <sortState xmlns:xlrd2="http://schemas.microsoft.com/office/spreadsheetml/2017/richdata2" ref="B23:G28">
    <sortCondition descending="1" ref="G22"/>
  </sortState>
  <mergeCells count="8">
    <mergeCell ref="A2:W2"/>
    <mergeCell ref="N4:Q4"/>
    <mergeCell ref="B4:F4"/>
    <mergeCell ref="B21:F21"/>
    <mergeCell ref="B38:F38"/>
    <mergeCell ref="P21:Q21"/>
    <mergeCell ref="N21:O21"/>
    <mergeCell ref="N38:P38"/>
  </mergeCells>
  <dataValidations disablePrompts="1" count="1">
    <dataValidation type="list" allowBlank="1" showInputMessage="1" showErrorMessage="1" sqref="Q38" xr:uid="{00000000-0002-0000-0100-000000000000}">
      <formula1>$B$6:$B$18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1000000}">
          <x14:formula1>
            <xm:f>Validações!$D$2:$D$17</xm:f>
          </x14:formula1>
          <xm:sqref>P21:Q21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DA71"/>
  <sheetViews>
    <sheetView tabSelected="1" zoomScale="85" zoomScaleNormal="85" workbookViewId="0">
      <pane ySplit="5" topLeftCell="A6" activePane="bottomLeft" state="frozen"/>
      <selection activeCell="B6" sqref="B6"/>
      <selection pane="bottomLeft" activeCell="I60" sqref="I60"/>
    </sheetView>
  </sheetViews>
  <sheetFormatPr defaultColWidth="9.109375" defaultRowHeight="17.25" customHeight="1"/>
  <cols>
    <col min="1" max="1" width="10.33203125" style="91" customWidth="1"/>
    <col min="2" max="2" width="8.77734375" style="94" customWidth="1"/>
    <col min="3" max="3" width="12" style="94" customWidth="1"/>
    <col min="4" max="4" width="12.33203125" style="94" customWidth="1"/>
    <col min="5" max="5" width="11.44140625" style="94" customWidth="1"/>
    <col min="6" max="6" width="11.21875" style="94" customWidth="1"/>
    <col min="7" max="7" width="19.109375" style="92" customWidth="1"/>
    <col min="8" max="8" width="17" style="93" customWidth="1"/>
    <col min="9" max="9" width="22.88671875" style="94" customWidth="1"/>
    <col min="10" max="10" width="8.44140625" style="95" customWidth="1"/>
    <col min="11" max="11" width="8.77734375" style="89" customWidth="1"/>
    <col min="12" max="12" width="9.6640625" style="89" customWidth="1"/>
    <col min="13" max="13" width="7.21875" style="89" customWidth="1"/>
    <col min="14" max="14" width="18.5546875" style="8" customWidth="1"/>
    <col min="15" max="15" width="10" style="89" customWidth="1"/>
    <col min="16" max="16" width="10.21875" style="89" customWidth="1"/>
    <col min="17" max="17" width="8" style="89" customWidth="1"/>
    <col min="18" max="105" width="9.109375" style="8"/>
    <col min="106" max="16384" width="9.109375" style="11"/>
  </cols>
  <sheetData>
    <row r="1" spans="1:105" s="10" customFormat="1" ht="22.2" customHeight="1" thickBot="1">
      <c r="A1" s="9"/>
      <c r="B1" s="9"/>
      <c r="C1" s="192"/>
      <c r="D1" s="192"/>
      <c r="E1" s="192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</row>
    <row r="2" spans="1:105" s="10" customFormat="1" ht="20.25" customHeight="1" thickBot="1">
      <c r="A2" s="250" t="s">
        <v>39</v>
      </c>
      <c r="B2" s="251"/>
      <c r="C2" s="251"/>
      <c r="D2" s="251"/>
      <c r="E2" s="251"/>
      <c r="F2" s="251"/>
      <c r="G2" s="251"/>
      <c r="H2" s="251"/>
      <c r="I2" s="251"/>
      <c r="J2" s="251"/>
      <c r="K2" s="251"/>
      <c r="L2" s="251"/>
      <c r="M2" s="251"/>
      <c r="N2" s="251"/>
      <c r="O2" s="251"/>
      <c r="P2" s="251"/>
      <c r="Q2" s="252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</row>
    <row r="3" spans="1:105" s="141" customFormat="1" ht="24.6" customHeight="1">
      <c r="A3" s="144" t="s">
        <v>79</v>
      </c>
      <c r="B3" s="145"/>
      <c r="C3" s="145"/>
      <c r="D3" s="145"/>
      <c r="E3" s="145"/>
      <c r="F3" s="145"/>
      <c r="G3" s="146"/>
      <c r="H3" s="145"/>
      <c r="I3" s="145"/>
      <c r="J3" s="147"/>
      <c r="K3" s="148"/>
      <c r="L3" s="148"/>
      <c r="M3" s="148"/>
      <c r="N3" s="162" t="s">
        <v>157</v>
      </c>
      <c r="O3" s="191"/>
      <c r="P3" s="191"/>
      <c r="Q3" s="191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140"/>
      <c r="BP3" s="140"/>
      <c r="BQ3" s="140"/>
      <c r="BR3" s="140"/>
      <c r="BS3" s="140"/>
      <c r="BT3" s="140"/>
      <c r="BU3" s="140"/>
      <c r="BV3" s="140"/>
      <c r="BW3" s="140"/>
      <c r="BX3" s="140"/>
      <c r="BY3" s="140"/>
      <c r="BZ3" s="140"/>
      <c r="CA3" s="140"/>
      <c r="CB3" s="140"/>
      <c r="CC3" s="140"/>
      <c r="CD3" s="140"/>
      <c r="CE3" s="140"/>
      <c r="CF3" s="140"/>
      <c r="CG3" s="140"/>
      <c r="CH3" s="140"/>
      <c r="CI3" s="140"/>
      <c r="CJ3" s="140"/>
      <c r="CK3" s="140"/>
      <c r="CL3" s="140"/>
      <c r="CM3" s="140"/>
      <c r="CN3" s="140"/>
      <c r="CO3" s="140"/>
      <c r="CP3" s="140"/>
      <c r="CQ3" s="140"/>
      <c r="CR3" s="140"/>
      <c r="CS3" s="140"/>
      <c r="CT3" s="140"/>
      <c r="CU3" s="140"/>
      <c r="CV3" s="140"/>
      <c r="CW3" s="140"/>
      <c r="CX3" s="140"/>
      <c r="CY3" s="140"/>
      <c r="CZ3" s="140"/>
      <c r="DA3" s="140"/>
    </row>
    <row r="4" spans="1:105" s="141" customFormat="1" ht="26.4">
      <c r="A4" s="182" t="s">
        <v>1</v>
      </c>
      <c r="B4" s="177" t="s">
        <v>0</v>
      </c>
      <c r="C4" s="177" t="s">
        <v>14</v>
      </c>
      <c r="D4" s="177" t="s">
        <v>33</v>
      </c>
      <c r="E4" s="177" t="s">
        <v>36</v>
      </c>
      <c r="F4" s="177" t="s">
        <v>35</v>
      </c>
      <c r="G4" s="178" t="s">
        <v>4</v>
      </c>
      <c r="H4" s="178" t="s">
        <v>5</v>
      </c>
      <c r="I4" s="177" t="s">
        <v>6</v>
      </c>
      <c r="J4" s="177" t="s">
        <v>38</v>
      </c>
      <c r="K4" s="179" t="s">
        <v>30</v>
      </c>
      <c r="L4" s="180" t="s">
        <v>31</v>
      </c>
      <c r="M4" s="180" t="s">
        <v>20</v>
      </c>
      <c r="N4" s="181" t="s">
        <v>19</v>
      </c>
      <c r="O4" s="182" t="s">
        <v>34</v>
      </c>
      <c r="P4" s="180" t="s">
        <v>32</v>
      </c>
      <c r="Q4" s="178" t="s">
        <v>37</v>
      </c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140"/>
      <c r="BP4" s="140"/>
      <c r="BQ4" s="140"/>
      <c r="BR4" s="140"/>
      <c r="BS4" s="140"/>
      <c r="BT4" s="140"/>
      <c r="BU4" s="140"/>
      <c r="BV4" s="140"/>
      <c r="BW4" s="140"/>
      <c r="BX4" s="140"/>
      <c r="BY4" s="140"/>
      <c r="BZ4" s="140"/>
      <c r="CA4" s="140"/>
      <c r="CB4" s="140"/>
      <c r="CC4" s="140"/>
      <c r="CD4" s="140"/>
      <c r="CE4" s="140"/>
      <c r="CF4" s="140"/>
      <c r="CG4" s="140"/>
      <c r="CH4" s="140"/>
      <c r="CI4" s="140"/>
      <c r="CJ4" s="140"/>
      <c r="CK4" s="140"/>
      <c r="CL4" s="140"/>
      <c r="CM4" s="140"/>
      <c r="CN4" s="140"/>
      <c r="CO4" s="140"/>
      <c r="CP4" s="140"/>
      <c r="CQ4" s="140"/>
      <c r="CR4" s="140"/>
      <c r="CS4" s="140"/>
      <c r="CT4" s="140"/>
      <c r="CU4" s="140"/>
      <c r="CV4" s="140"/>
      <c r="CW4" s="140"/>
      <c r="CX4" s="140"/>
      <c r="CY4" s="140"/>
      <c r="CZ4" s="140"/>
      <c r="DA4" s="140"/>
    </row>
    <row r="5" spans="1:105" s="143" customFormat="1" ht="15.6" customHeight="1">
      <c r="A5" s="183" t="s">
        <v>1</v>
      </c>
      <c r="B5" s="184" t="s">
        <v>0</v>
      </c>
      <c r="C5" s="185" t="s">
        <v>14</v>
      </c>
      <c r="D5" s="185" t="s">
        <v>33</v>
      </c>
      <c r="E5" s="185" t="s">
        <v>36</v>
      </c>
      <c r="F5" s="185" t="s">
        <v>35</v>
      </c>
      <c r="G5" s="186" t="s">
        <v>4</v>
      </c>
      <c r="H5" s="186" t="s">
        <v>5</v>
      </c>
      <c r="I5" s="185" t="s">
        <v>6</v>
      </c>
      <c r="J5" s="185" t="s">
        <v>38</v>
      </c>
      <c r="K5" s="187" t="s">
        <v>30</v>
      </c>
      <c r="L5" s="188" t="s">
        <v>31</v>
      </c>
      <c r="M5" s="188" t="s">
        <v>20</v>
      </c>
      <c r="N5" s="189" t="s">
        <v>19</v>
      </c>
      <c r="O5" s="190" t="s">
        <v>34</v>
      </c>
      <c r="P5" s="188" t="s">
        <v>32</v>
      </c>
      <c r="Q5" s="186" t="s">
        <v>37</v>
      </c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2"/>
      <c r="BZ5" s="142"/>
      <c r="CA5" s="142"/>
      <c r="CB5" s="142"/>
      <c r="CC5" s="142"/>
      <c r="CD5" s="142"/>
      <c r="CE5" s="142"/>
      <c r="CF5" s="142"/>
      <c r="CG5" s="142"/>
      <c r="CH5" s="142"/>
      <c r="CI5" s="142"/>
      <c r="CJ5" s="142"/>
      <c r="CK5" s="142"/>
      <c r="CL5" s="142"/>
      <c r="CM5" s="142"/>
      <c r="CN5" s="142"/>
      <c r="CO5" s="142"/>
      <c r="CP5" s="142"/>
      <c r="CQ5" s="142"/>
      <c r="CR5" s="142"/>
      <c r="CS5" s="142"/>
      <c r="CT5" s="142"/>
      <c r="CU5" s="142"/>
      <c r="CV5" s="142"/>
      <c r="CW5" s="142"/>
      <c r="CX5" s="142"/>
      <c r="CY5" s="142"/>
      <c r="CZ5" s="142"/>
      <c r="DA5" s="142"/>
    </row>
    <row r="6" spans="1:105" s="10" customFormat="1" ht="17.25" customHeight="1">
      <c r="A6" s="96" t="s">
        <v>88</v>
      </c>
      <c r="B6" s="97" t="s">
        <v>80</v>
      </c>
      <c r="C6" s="193">
        <v>43787</v>
      </c>
      <c r="D6" s="193">
        <v>43792</v>
      </c>
      <c r="E6" s="193">
        <v>43795</v>
      </c>
      <c r="F6" s="193">
        <v>43795</v>
      </c>
      <c r="G6" s="98" t="s">
        <v>25</v>
      </c>
      <c r="H6" s="106" t="s">
        <v>154</v>
      </c>
      <c r="I6" s="99" t="s">
        <v>155</v>
      </c>
      <c r="J6" s="99" t="s">
        <v>20</v>
      </c>
      <c r="K6" s="100" t="str">
        <f t="shared" ref="K6:K38" ca="1" si="0">IF(C6&gt;0, IF((OR(J6="PD",J6="SR")),(TODAY()-C6),IF(OR(J6="OK",J6="RS"),"-", "")), "")</f>
        <v>-</v>
      </c>
      <c r="L6" s="100" t="str">
        <f t="shared" ref="L6:L38" ca="1" si="1">IF(D6&gt;0,IF((OR(J6="PD",J6="SR")),(TODAY()-D6),IF(OR(J6="OK",J6="RS"),"-", "")), "")</f>
        <v>-</v>
      </c>
      <c r="M6" s="100">
        <f t="shared" ref="M6:M38" ca="1" si="2">IF(D6&gt;0,IF(J6="RS",(TODAY()-D6),IF(J6="OK","-", "")), "")</f>
        <v>344</v>
      </c>
      <c r="N6" s="107" t="s">
        <v>156</v>
      </c>
      <c r="O6" s="174">
        <f t="shared" ref="O6:O38" si="3">IF(J6="SR",L6,IF(OR(E6="-",D6="-"),"-",IF((E6&gt;0),(E6-D6),"")))</f>
        <v>3</v>
      </c>
      <c r="P6" s="101">
        <f t="shared" ref="P6:P38" si="4">IF(OR(J6="SR",J6="PD"),L6,IF(OR(F6="-",D6="-"),"-",IF((F6),(F6-D6),"")))</f>
        <v>3</v>
      </c>
      <c r="Q6" s="103">
        <f t="shared" ref="Q6:Q38" si="5">IF(D6="-","-",IF(OR(WEEKDAY(D6)=6,WEEKDAY(D6)=7,WEEKDAY(D6)=1),WEEKDAY(D6),""))</f>
        <v>7</v>
      </c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</row>
    <row r="7" spans="1:105" s="10" customFormat="1" ht="17.25" customHeight="1">
      <c r="A7" s="96" t="s">
        <v>89</v>
      </c>
      <c r="B7" s="97" t="s">
        <v>81</v>
      </c>
      <c r="C7" s="193">
        <v>43768</v>
      </c>
      <c r="D7" s="193">
        <v>43793</v>
      </c>
      <c r="E7" s="193">
        <v>43793</v>
      </c>
      <c r="F7" s="193">
        <v>43799</v>
      </c>
      <c r="G7" s="106" t="s">
        <v>26</v>
      </c>
      <c r="H7" s="106" t="s">
        <v>154</v>
      </c>
      <c r="I7" s="99" t="s">
        <v>155</v>
      </c>
      <c r="J7" s="105" t="s">
        <v>9</v>
      </c>
      <c r="K7" s="100" t="str">
        <f t="shared" ca="1" si="0"/>
        <v>-</v>
      </c>
      <c r="L7" s="100" t="str">
        <f t="shared" ca="1" si="1"/>
        <v>-</v>
      </c>
      <c r="M7" s="100" t="str">
        <f t="shared" ca="1" si="2"/>
        <v>-</v>
      </c>
      <c r="N7" s="107" t="s">
        <v>156</v>
      </c>
      <c r="O7" s="174">
        <f t="shared" si="3"/>
        <v>0</v>
      </c>
      <c r="P7" s="101">
        <f t="shared" si="4"/>
        <v>6</v>
      </c>
      <c r="Q7" s="103">
        <f t="shared" si="5"/>
        <v>1</v>
      </c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</row>
    <row r="8" spans="1:105" s="10" customFormat="1" ht="17.25" customHeight="1">
      <c r="A8" s="96" t="s">
        <v>90</v>
      </c>
      <c r="B8" s="97" t="s">
        <v>80</v>
      </c>
      <c r="C8" s="193">
        <v>43768</v>
      </c>
      <c r="D8" s="193">
        <v>43799</v>
      </c>
      <c r="E8" s="193">
        <v>43799</v>
      </c>
      <c r="F8" s="193"/>
      <c r="G8" s="98" t="s">
        <v>25</v>
      </c>
      <c r="H8" s="106" t="s">
        <v>154</v>
      </c>
      <c r="I8" s="99" t="s">
        <v>155</v>
      </c>
      <c r="J8" s="99" t="s">
        <v>10</v>
      </c>
      <c r="K8" s="100">
        <f t="shared" ca="1" si="0"/>
        <v>368</v>
      </c>
      <c r="L8" s="100">
        <f t="shared" ca="1" si="1"/>
        <v>337</v>
      </c>
      <c r="M8" s="100" t="str">
        <f t="shared" ca="1" si="2"/>
        <v/>
      </c>
      <c r="N8" s="107" t="s">
        <v>156</v>
      </c>
      <c r="O8" s="174">
        <f t="shared" si="3"/>
        <v>0</v>
      </c>
      <c r="P8" s="101">
        <f t="shared" ca="1" si="4"/>
        <v>337</v>
      </c>
      <c r="Q8" s="103">
        <f t="shared" si="5"/>
        <v>7</v>
      </c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</row>
    <row r="9" spans="1:105" s="10" customFormat="1" ht="17.25" customHeight="1">
      <c r="A9" s="96" t="s">
        <v>91</v>
      </c>
      <c r="B9" s="97" t="s">
        <v>83</v>
      </c>
      <c r="C9" s="193">
        <v>43787</v>
      </c>
      <c r="D9" s="193">
        <v>43792</v>
      </c>
      <c r="E9" s="193">
        <v>43793</v>
      </c>
      <c r="F9" s="193">
        <v>43794</v>
      </c>
      <c r="G9" s="98" t="s">
        <v>25</v>
      </c>
      <c r="H9" s="106" t="s">
        <v>154</v>
      </c>
      <c r="I9" s="99" t="s">
        <v>155</v>
      </c>
      <c r="J9" s="105" t="s">
        <v>9</v>
      </c>
      <c r="K9" s="100" t="str">
        <f t="shared" ca="1" si="0"/>
        <v>-</v>
      </c>
      <c r="L9" s="100" t="str">
        <f t="shared" ca="1" si="1"/>
        <v>-</v>
      </c>
      <c r="M9" s="100" t="str">
        <f t="shared" ca="1" si="2"/>
        <v>-</v>
      </c>
      <c r="N9" s="107" t="s">
        <v>156</v>
      </c>
      <c r="O9" s="174">
        <f t="shared" si="3"/>
        <v>1</v>
      </c>
      <c r="P9" s="101">
        <f t="shared" si="4"/>
        <v>2</v>
      </c>
      <c r="Q9" s="103">
        <f t="shared" si="5"/>
        <v>7</v>
      </c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</row>
    <row r="10" spans="1:105" s="10" customFormat="1" ht="17.25" customHeight="1">
      <c r="A10" s="96" t="s">
        <v>92</v>
      </c>
      <c r="B10" s="97" t="s">
        <v>85</v>
      </c>
      <c r="C10" s="193">
        <v>43787</v>
      </c>
      <c r="D10" s="193">
        <v>43800</v>
      </c>
      <c r="E10" s="193">
        <v>43800</v>
      </c>
      <c r="F10" s="193">
        <v>43802</v>
      </c>
      <c r="G10" s="106" t="s">
        <v>26</v>
      </c>
      <c r="H10" s="106" t="s">
        <v>154</v>
      </c>
      <c r="I10" s="99" t="s">
        <v>155</v>
      </c>
      <c r="J10" s="104" t="s">
        <v>20</v>
      </c>
      <c r="K10" s="100" t="str">
        <f t="shared" ca="1" si="0"/>
        <v>-</v>
      </c>
      <c r="L10" s="100" t="str">
        <f t="shared" ca="1" si="1"/>
        <v>-</v>
      </c>
      <c r="M10" s="100">
        <f t="shared" ca="1" si="2"/>
        <v>336</v>
      </c>
      <c r="N10" s="107" t="s">
        <v>156</v>
      </c>
      <c r="O10" s="174">
        <f t="shared" si="3"/>
        <v>0</v>
      </c>
      <c r="P10" s="101">
        <f t="shared" si="4"/>
        <v>2</v>
      </c>
      <c r="Q10" s="103">
        <f t="shared" si="5"/>
        <v>1</v>
      </c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</row>
    <row r="11" spans="1:105" s="10" customFormat="1" ht="17.25" customHeight="1">
      <c r="A11" s="96" t="s">
        <v>93</v>
      </c>
      <c r="B11" s="97" t="s">
        <v>86</v>
      </c>
      <c r="C11" s="193">
        <v>43789</v>
      </c>
      <c r="D11" s="193">
        <v>43790</v>
      </c>
      <c r="E11" s="193">
        <v>43792</v>
      </c>
      <c r="F11" s="193"/>
      <c r="G11" s="106" t="s">
        <v>26</v>
      </c>
      <c r="H11" s="106" t="s">
        <v>154</v>
      </c>
      <c r="I11" s="99" t="s">
        <v>155</v>
      </c>
      <c r="J11" s="99" t="s">
        <v>10</v>
      </c>
      <c r="K11" s="100">
        <f t="shared" ca="1" si="0"/>
        <v>347</v>
      </c>
      <c r="L11" s="100">
        <f t="shared" ca="1" si="1"/>
        <v>346</v>
      </c>
      <c r="M11" s="100" t="str">
        <f t="shared" ca="1" si="2"/>
        <v/>
      </c>
      <c r="N11" s="107" t="s">
        <v>156</v>
      </c>
      <c r="O11" s="174">
        <f t="shared" si="3"/>
        <v>2</v>
      </c>
      <c r="P11" s="101">
        <f t="shared" ca="1" si="4"/>
        <v>346</v>
      </c>
      <c r="Q11" s="103" t="str">
        <f t="shared" si="5"/>
        <v/>
      </c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</row>
    <row r="12" spans="1:105" s="10" customFormat="1" ht="17.25" customHeight="1">
      <c r="A12" s="96" t="s">
        <v>94</v>
      </c>
      <c r="B12" s="97" t="s">
        <v>83</v>
      </c>
      <c r="C12" s="193">
        <v>43760</v>
      </c>
      <c r="D12" s="193">
        <v>43765</v>
      </c>
      <c r="E12" s="193">
        <v>43769</v>
      </c>
      <c r="F12" s="193">
        <v>43769</v>
      </c>
      <c r="G12" s="106" t="s">
        <v>26</v>
      </c>
      <c r="H12" s="106" t="s">
        <v>154</v>
      </c>
      <c r="I12" s="99" t="s">
        <v>155</v>
      </c>
      <c r="J12" s="105" t="s">
        <v>9</v>
      </c>
      <c r="K12" s="100" t="str">
        <f t="shared" ca="1" si="0"/>
        <v>-</v>
      </c>
      <c r="L12" s="100" t="str">
        <f t="shared" ca="1" si="1"/>
        <v>-</v>
      </c>
      <c r="M12" s="100" t="str">
        <f t="shared" ca="1" si="2"/>
        <v>-</v>
      </c>
      <c r="N12" s="107" t="s">
        <v>156</v>
      </c>
      <c r="O12" s="174">
        <f t="shared" si="3"/>
        <v>4</v>
      </c>
      <c r="P12" s="102">
        <f t="shared" si="4"/>
        <v>4</v>
      </c>
      <c r="Q12" s="103">
        <f t="shared" si="5"/>
        <v>1</v>
      </c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</row>
    <row r="13" spans="1:105" s="10" customFormat="1" ht="17.25" customHeight="1">
      <c r="A13" s="96" t="s">
        <v>95</v>
      </c>
      <c r="B13" s="97" t="s">
        <v>85</v>
      </c>
      <c r="C13" s="193">
        <v>44004</v>
      </c>
      <c r="D13" s="193">
        <v>44009</v>
      </c>
      <c r="E13" s="193"/>
      <c r="F13" s="193"/>
      <c r="G13" s="106" t="s">
        <v>26</v>
      </c>
      <c r="H13" s="106" t="s">
        <v>154</v>
      </c>
      <c r="I13" s="99" t="s">
        <v>155</v>
      </c>
      <c r="J13" s="104" t="s">
        <v>7</v>
      </c>
      <c r="K13" s="100">
        <f t="shared" ca="1" si="0"/>
        <v>132</v>
      </c>
      <c r="L13" s="100">
        <f t="shared" ca="1" si="1"/>
        <v>127</v>
      </c>
      <c r="M13" s="100" t="str">
        <f t="shared" ca="1" si="2"/>
        <v/>
      </c>
      <c r="N13" s="107" t="s">
        <v>156</v>
      </c>
      <c r="O13" s="174">
        <f t="shared" ca="1" si="3"/>
        <v>127</v>
      </c>
      <c r="P13" s="102">
        <f t="shared" ca="1" si="4"/>
        <v>127</v>
      </c>
      <c r="Q13" s="103">
        <f t="shared" si="5"/>
        <v>7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</row>
    <row r="14" spans="1:105" s="10" customFormat="1" ht="17.25" customHeight="1">
      <c r="A14" s="96" t="s">
        <v>96</v>
      </c>
      <c r="B14" s="97" t="s">
        <v>80</v>
      </c>
      <c r="C14" s="193">
        <v>44004</v>
      </c>
      <c r="D14" s="193">
        <v>44009</v>
      </c>
      <c r="E14" s="193">
        <v>44133</v>
      </c>
      <c r="F14" s="193"/>
      <c r="G14" s="98" t="s">
        <v>25</v>
      </c>
      <c r="H14" s="106" t="s">
        <v>154</v>
      </c>
      <c r="I14" s="99" t="s">
        <v>155</v>
      </c>
      <c r="J14" s="99" t="s">
        <v>10</v>
      </c>
      <c r="K14" s="100">
        <f t="shared" ca="1" si="0"/>
        <v>132</v>
      </c>
      <c r="L14" s="100">
        <f t="shared" ca="1" si="1"/>
        <v>127</v>
      </c>
      <c r="M14" s="100" t="str">
        <f t="shared" ca="1" si="2"/>
        <v/>
      </c>
      <c r="N14" s="107" t="s">
        <v>156</v>
      </c>
      <c r="O14" s="174">
        <f t="shared" si="3"/>
        <v>124</v>
      </c>
      <c r="P14" s="101">
        <f t="shared" ca="1" si="4"/>
        <v>127</v>
      </c>
      <c r="Q14" s="103">
        <f t="shared" si="5"/>
        <v>7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</row>
    <row r="15" spans="1:105" s="10" customFormat="1" ht="17.25" customHeight="1">
      <c r="A15" s="96" t="s">
        <v>97</v>
      </c>
      <c r="B15" s="97" t="s">
        <v>83</v>
      </c>
      <c r="C15" s="193">
        <v>44004</v>
      </c>
      <c r="D15" s="193">
        <v>44009</v>
      </c>
      <c r="E15" s="193">
        <v>44009</v>
      </c>
      <c r="F15" s="193"/>
      <c r="G15" s="98" t="s">
        <v>22</v>
      </c>
      <c r="H15" s="106" t="s">
        <v>154</v>
      </c>
      <c r="I15" s="99" t="s">
        <v>155</v>
      </c>
      <c r="J15" s="99" t="s">
        <v>10</v>
      </c>
      <c r="K15" s="100">
        <f t="shared" ca="1" si="0"/>
        <v>132</v>
      </c>
      <c r="L15" s="100">
        <f t="shared" ca="1" si="1"/>
        <v>127</v>
      </c>
      <c r="M15" s="100" t="str">
        <f t="shared" ca="1" si="2"/>
        <v/>
      </c>
      <c r="N15" s="107" t="s">
        <v>156</v>
      </c>
      <c r="O15" s="174">
        <f t="shared" si="3"/>
        <v>0</v>
      </c>
      <c r="P15" s="102">
        <f t="shared" ca="1" si="4"/>
        <v>127</v>
      </c>
      <c r="Q15" s="103">
        <f t="shared" si="5"/>
        <v>7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</row>
    <row r="16" spans="1:105" s="10" customFormat="1" ht="17.25" customHeight="1">
      <c r="A16" s="96" t="s">
        <v>98</v>
      </c>
      <c r="B16" s="97" t="s">
        <v>80</v>
      </c>
      <c r="C16" s="193">
        <v>44121</v>
      </c>
      <c r="D16" s="193">
        <v>44124</v>
      </c>
      <c r="E16" s="193">
        <v>44125</v>
      </c>
      <c r="F16" s="193">
        <v>44133</v>
      </c>
      <c r="G16" s="98" t="s">
        <v>23</v>
      </c>
      <c r="H16" s="106" t="s">
        <v>154</v>
      </c>
      <c r="I16" s="99" t="s">
        <v>155</v>
      </c>
      <c r="J16" s="99" t="s">
        <v>9</v>
      </c>
      <c r="K16" s="100" t="str">
        <f t="shared" ca="1" si="0"/>
        <v>-</v>
      </c>
      <c r="L16" s="100" t="str">
        <f t="shared" ca="1" si="1"/>
        <v>-</v>
      </c>
      <c r="M16" s="100" t="str">
        <f t="shared" ca="1" si="2"/>
        <v>-</v>
      </c>
      <c r="N16" s="107" t="s">
        <v>156</v>
      </c>
      <c r="O16" s="174">
        <f t="shared" si="3"/>
        <v>1</v>
      </c>
      <c r="P16" s="101">
        <f t="shared" si="4"/>
        <v>9</v>
      </c>
      <c r="Q16" s="103" t="str">
        <f t="shared" si="5"/>
        <v/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</row>
    <row r="17" spans="1:105" s="10" customFormat="1" ht="17.25" customHeight="1">
      <c r="A17" s="96" t="s">
        <v>99</v>
      </c>
      <c r="B17" s="97" t="s">
        <v>80</v>
      </c>
      <c r="C17" s="193">
        <v>44121</v>
      </c>
      <c r="D17" s="193">
        <v>44123</v>
      </c>
      <c r="E17" s="193">
        <v>44123</v>
      </c>
      <c r="F17" s="193">
        <v>44123</v>
      </c>
      <c r="G17" s="106" t="s">
        <v>26</v>
      </c>
      <c r="H17" s="106" t="s">
        <v>154</v>
      </c>
      <c r="I17" s="99" t="s">
        <v>155</v>
      </c>
      <c r="J17" s="99" t="s">
        <v>9</v>
      </c>
      <c r="K17" s="100" t="str">
        <f t="shared" ca="1" si="0"/>
        <v>-</v>
      </c>
      <c r="L17" s="100" t="str">
        <f t="shared" ca="1" si="1"/>
        <v>-</v>
      </c>
      <c r="M17" s="100" t="str">
        <f t="shared" ca="1" si="2"/>
        <v>-</v>
      </c>
      <c r="N17" s="107" t="s">
        <v>156</v>
      </c>
      <c r="O17" s="174">
        <f t="shared" si="3"/>
        <v>0</v>
      </c>
      <c r="P17" s="101">
        <f t="shared" si="4"/>
        <v>0</v>
      </c>
      <c r="Q17" s="103" t="str">
        <f t="shared" si="5"/>
        <v/>
      </c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</row>
    <row r="18" spans="1:105" s="10" customFormat="1" ht="17.25" customHeight="1">
      <c r="A18" s="96" t="s">
        <v>100</v>
      </c>
      <c r="B18" s="97" t="s">
        <v>80</v>
      </c>
      <c r="C18" s="193">
        <v>43960</v>
      </c>
      <c r="D18" s="193">
        <v>43960</v>
      </c>
      <c r="E18" s="193">
        <v>43960</v>
      </c>
      <c r="F18" s="193">
        <v>43960</v>
      </c>
      <c r="G18" s="98" t="s">
        <v>25</v>
      </c>
      <c r="H18" s="106" t="s">
        <v>154</v>
      </c>
      <c r="I18" s="99" t="s">
        <v>155</v>
      </c>
      <c r="J18" s="99" t="s">
        <v>9</v>
      </c>
      <c r="K18" s="100" t="str">
        <f t="shared" ca="1" si="0"/>
        <v>-</v>
      </c>
      <c r="L18" s="100" t="str">
        <f t="shared" ca="1" si="1"/>
        <v>-</v>
      </c>
      <c r="M18" s="100" t="str">
        <f t="shared" ca="1" si="2"/>
        <v>-</v>
      </c>
      <c r="N18" s="107" t="s">
        <v>156</v>
      </c>
      <c r="O18" s="174">
        <f t="shared" si="3"/>
        <v>0</v>
      </c>
      <c r="P18" s="101">
        <f t="shared" si="4"/>
        <v>0</v>
      </c>
      <c r="Q18" s="103">
        <f t="shared" si="5"/>
        <v>7</v>
      </c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</row>
    <row r="19" spans="1:105" s="10" customFormat="1" ht="17.25" customHeight="1">
      <c r="A19" s="96" t="s">
        <v>101</v>
      </c>
      <c r="B19" s="176" t="s">
        <v>82</v>
      </c>
      <c r="C19" s="193">
        <v>44114</v>
      </c>
      <c r="D19" s="193">
        <v>44127</v>
      </c>
      <c r="E19" s="193">
        <v>44131</v>
      </c>
      <c r="F19" s="193">
        <v>44131</v>
      </c>
      <c r="G19" s="98" t="s">
        <v>25</v>
      </c>
      <c r="H19" s="106" t="s">
        <v>154</v>
      </c>
      <c r="I19" s="99" t="s">
        <v>155</v>
      </c>
      <c r="J19" s="105" t="s">
        <v>9</v>
      </c>
      <c r="K19" s="100" t="str">
        <f t="shared" ca="1" si="0"/>
        <v>-</v>
      </c>
      <c r="L19" s="100" t="str">
        <f t="shared" ca="1" si="1"/>
        <v>-</v>
      </c>
      <c r="M19" s="100" t="str">
        <f t="shared" ca="1" si="2"/>
        <v>-</v>
      </c>
      <c r="N19" s="107" t="s">
        <v>156</v>
      </c>
      <c r="O19" s="174">
        <f t="shared" si="3"/>
        <v>4</v>
      </c>
      <c r="P19" s="102">
        <f t="shared" si="4"/>
        <v>4</v>
      </c>
      <c r="Q19" s="103">
        <f t="shared" si="5"/>
        <v>6</v>
      </c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</row>
    <row r="20" spans="1:105" s="10" customFormat="1" ht="17.25" customHeight="1">
      <c r="A20" s="96" t="s">
        <v>102</v>
      </c>
      <c r="B20" s="97" t="s">
        <v>83</v>
      </c>
      <c r="C20" s="193">
        <v>44114</v>
      </c>
      <c r="D20" s="193">
        <v>44119</v>
      </c>
      <c r="E20" s="193">
        <v>44120</v>
      </c>
      <c r="F20" s="193">
        <v>44120</v>
      </c>
      <c r="G20" s="98" t="s">
        <v>12</v>
      </c>
      <c r="H20" s="106" t="s">
        <v>154</v>
      </c>
      <c r="I20" s="99" t="s">
        <v>155</v>
      </c>
      <c r="J20" s="105" t="s">
        <v>9</v>
      </c>
      <c r="K20" s="100" t="str">
        <f t="shared" ca="1" si="0"/>
        <v>-</v>
      </c>
      <c r="L20" s="100" t="str">
        <f t="shared" ca="1" si="1"/>
        <v>-</v>
      </c>
      <c r="M20" s="100" t="str">
        <f t="shared" ca="1" si="2"/>
        <v>-</v>
      </c>
      <c r="N20" s="107" t="s">
        <v>156</v>
      </c>
      <c r="O20" s="174">
        <f t="shared" si="3"/>
        <v>1</v>
      </c>
      <c r="P20" s="101">
        <f t="shared" si="4"/>
        <v>1</v>
      </c>
      <c r="Q20" s="103" t="str">
        <f t="shared" si="5"/>
        <v/>
      </c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</row>
    <row r="21" spans="1:105" s="10" customFormat="1" ht="17.25" customHeight="1">
      <c r="A21" s="96" t="s">
        <v>103</v>
      </c>
      <c r="B21" s="97" t="s">
        <v>84</v>
      </c>
      <c r="C21" s="193">
        <v>44096</v>
      </c>
      <c r="D21" s="193">
        <v>44097</v>
      </c>
      <c r="E21" s="193"/>
      <c r="F21" s="193"/>
      <c r="G21" s="98" t="s">
        <v>25</v>
      </c>
      <c r="H21" s="106" t="s">
        <v>154</v>
      </c>
      <c r="I21" s="99" t="s">
        <v>155</v>
      </c>
      <c r="J21" s="104" t="s">
        <v>7</v>
      </c>
      <c r="K21" s="100">
        <f t="shared" ca="1" si="0"/>
        <v>40</v>
      </c>
      <c r="L21" s="100">
        <f t="shared" ca="1" si="1"/>
        <v>39</v>
      </c>
      <c r="M21" s="100" t="str">
        <f t="shared" ca="1" si="2"/>
        <v/>
      </c>
      <c r="N21" s="107" t="s">
        <v>156</v>
      </c>
      <c r="O21" s="174">
        <f t="shared" ca="1" si="3"/>
        <v>39</v>
      </c>
      <c r="P21" s="101">
        <f t="shared" ca="1" si="4"/>
        <v>39</v>
      </c>
      <c r="Q21" s="103" t="str">
        <f t="shared" si="5"/>
        <v/>
      </c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</row>
    <row r="22" spans="1:105" s="10" customFormat="1" ht="17.25" customHeight="1">
      <c r="A22" s="96" t="s">
        <v>104</v>
      </c>
      <c r="B22" s="97" t="s">
        <v>83</v>
      </c>
      <c r="C22" s="193">
        <v>44096</v>
      </c>
      <c r="D22" s="193">
        <v>44097</v>
      </c>
      <c r="E22" s="193">
        <v>44097</v>
      </c>
      <c r="F22" s="193"/>
      <c r="G22" s="106" t="s">
        <v>26</v>
      </c>
      <c r="H22" s="106" t="s">
        <v>154</v>
      </c>
      <c r="I22" s="99" t="s">
        <v>155</v>
      </c>
      <c r="J22" s="99" t="s">
        <v>10</v>
      </c>
      <c r="K22" s="100">
        <f t="shared" ca="1" si="0"/>
        <v>40</v>
      </c>
      <c r="L22" s="100">
        <f t="shared" ca="1" si="1"/>
        <v>39</v>
      </c>
      <c r="M22" s="100" t="str">
        <f t="shared" ca="1" si="2"/>
        <v/>
      </c>
      <c r="N22" s="107" t="s">
        <v>156</v>
      </c>
      <c r="O22" s="174">
        <f t="shared" si="3"/>
        <v>0</v>
      </c>
      <c r="P22" s="102">
        <f t="shared" ca="1" si="4"/>
        <v>39</v>
      </c>
      <c r="Q22" s="103" t="str">
        <f t="shared" si="5"/>
        <v/>
      </c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</row>
    <row r="23" spans="1:105" s="10" customFormat="1" ht="17.25" customHeight="1">
      <c r="A23" s="96" t="s">
        <v>105</v>
      </c>
      <c r="B23" s="97" t="s">
        <v>86</v>
      </c>
      <c r="C23" s="193">
        <v>44096</v>
      </c>
      <c r="D23" s="193">
        <v>44097</v>
      </c>
      <c r="E23" s="193">
        <v>44097</v>
      </c>
      <c r="F23" s="193">
        <v>44097</v>
      </c>
      <c r="G23" s="106" t="s">
        <v>26</v>
      </c>
      <c r="H23" s="106" t="s">
        <v>154</v>
      </c>
      <c r="I23" s="99" t="s">
        <v>155</v>
      </c>
      <c r="J23" s="104" t="s">
        <v>9</v>
      </c>
      <c r="K23" s="100" t="str">
        <f t="shared" ca="1" si="0"/>
        <v>-</v>
      </c>
      <c r="L23" s="100" t="str">
        <f t="shared" ca="1" si="1"/>
        <v>-</v>
      </c>
      <c r="M23" s="100" t="str">
        <f t="shared" ca="1" si="2"/>
        <v>-</v>
      </c>
      <c r="N23" s="107" t="s">
        <v>156</v>
      </c>
      <c r="O23" s="174">
        <f t="shared" si="3"/>
        <v>0</v>
      </c>
      <c r="P23" s="101">
        <f t="shared" si="4"/>
        <v>0</v>
      </c>
      <c r="Q23" s="103" t="str">
        <f t="shared" si="5"/>
        <v/>
      </c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</row>
    <row r="24" spans="1:105" s="10" customFormat="1" ht="17.25" customHeight="1">
      <c r="A24" s="96" t="s">
        <v>106</v>
      </c>
      <c r="B24" s="176" t="s">
        <v>80</v>
      </c>
      <c r="C24" s="193">
        <v>44096</v>
      </c>
      <c r="D24" s="193">
        <v>44097</v>
      </c>
      <c r="E24" s="193">
        <v>44097</v>
      </c>
      <c r="F24" s="193"/>
      <c r="G24" s="106" t="s">
        <v>26</v>
      </c>
      <c r="H24" s="106" t="s">
        <v>154</v>
      </c>
      <c r="I24" s="99" t="s">
        <v>155</v>
      </c>
      <c r="J24" s="105" t="s">
        <v>10</v>
      </c>
      <c r="K24" s="100">
        <f t="shared" ca="1" si="0"/>
        <v>40</v>
      </c>
      <c r="L24" s="100">
        <f t="shared" ca="1" si="1"/>
        <v>39</v>
      </c>
      <c r="M24" s="100" t="str">
        <f t="shared" ca="1" si="2"/>
        <v/>
      </c>
      <c r="N24" s="107" t="s">
        <v>156</v>
      </c>
      <c r="O24" s="174">
        <f t="shared" si="3"/>
        <v>0</v>
      </c>
      <c r="P24" s="101">
        <f t="shared" ca="1" si="4"/>
        <v>39</v>
      </c>
      <c r="Q24" s="103" t="str">
        <f t="shared" si="5"/>
        <v/>
      </c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</row>
    <row r="25" spans="1:105" s="10" customFormat="1" ht="17.25" customHeight="1">
      <c r="A25" s="96" t="s">
        <v>107</v>
      </c>
      <c r="B25" s="97" t="s">
        <v>81</v>
      </c>
      <c r="C25" s="193">
        <v>44096</v>
      </c>
      <c r="D25" s="193">
        <v>44096</v>
      </c>
      <c r="E25" s="193">
        <v>44097</v>
      </c>
      <c r="F25" s="193">
        <v>44097</v>
      </c>
      <c r="G25" s="98" t="s">
        <v>25</v>
      </c>
      <c r="H25" s="106" t="s">
        <v>154</v>
      </c>
      <c r="I25" s="99" t="s">
        <v>155</v>
      </c>
      <c r="J25" s="105" t="s">
        <v>9</v>
      </c>
      <c r="K25" s="100" t="str">
        <f t="shared" ca="1" si="0"/>
        <v>-</v>
      </c>
      <c r="L25" s="100" t="str">
        <f t="shared" ca="1" si="1"/>
        <v>-</v>
      </c>
      <c r="M25" s="100" t="str">
        <f t="shared" ca="1" si="2"/>
        <v>-</v>
      </c>
      <c r="N25" s="107" t="s">
        <v>156</v>
      </c>
      <c r="O25" s="174">
        <f t="shared" si="3"/>
        <v>1</v>
      </c>
      <c r="P25" s="102">
        <f t="shared" si="4"/>
        <v>1</v>
      </c>
      <c r="Q25" s="103" t="str">
        <f t="shared" si="5"/>
        <v/>
      </c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</row>
    <row r="26" spans="1:105" s="10" customFormat="1" ht="17.25" customHeight="1">
      <c r="A26" s="96" t="s">
        <v>108</v>
      </c>
      <c r="B26" s="97" t="s">
        <v>80</v>
      </c>
      <c r="C26" s="193">
        <v>44096</v>
      </c>
      <c r="D26" s="193">
        <v>44096</v>
      </c>
      <c r="E26" s="193">
        <v>44097</v>
      </c>
      <c r="F26" s="193">
        <v>44097</v>
      </c>
      <c r="G26" s="98" t="s">
        <v>25</v>
      </c>
      <c r="H26" s="106" t="s">
        <v>154</v>
      </c>
      <c r="I26" s="99" t="s">
        <v>155</v>
      </c>
      <c r="J26" s="99" t="s">
        <v>9</v>
      </c>
      <c r="K26" s="100" t="str">
        <f t="shared" ca="1" si="0"/>
        <v>-</v>
      </c>
      <c r="L26" s="100" t="str">
        <f t="shared" ca="1" si="1"/>
        <v>-</v>
      </c>
      <c r="M26" s="100" t="str">
        <f t="shared" ca="1" si="2"/>
        <v>-</v>
      </c>
      <c r="N26" s="107" t="s">
        <v>156</v>
      </c>
      <c r="O26" s="174">
        <f t="shared" si="3"/>
        <v>1</v>
      </c>
      <c r="P26" s="101">
        <f t="shared" si="4"/>
        <v>1</v>
      </c>
      <c r="Q26" s="103" t="str">
        <f t="shared" si="5"/>
        <v/>
      </c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</row>
    <row r="27" spans="1:105" s="10" customFormat="1" ht="17.25" customHeight="1">
      <c r="A27" s="96" t="s">
        <v>109</v>
      </c>
      <c r="B27" s="176" t="s">
        <v>80</v>
      </c>
      <c r="C27" s="193">
        <v>44114</v>
      </c>
      <c r="D27" s="193">
        <v>44114</v>
      </c>
      <c r="E27" s="193">
        <v>44117</v>
      </c>
      <c r="F27" s="193">
        <v>44117</v>
      </c>
      <c r="G27" s="98" t="s">
        <v>23</v>
      </c>
      <c r="H27" s="106" t="s">
        <v>154</v>
      </c>
      <c r="I27" s="99" t="s">
        <v>155</v>
      </c>
      <c r="J27" s="99" t="s">
        <v>9</v>
      </c>
      <c r="K27" s="100" t="str">
        <f t="shared" ca="1" si="0"/>
        <v>-</v>
      </c>
      <c r="L27" s="100" t="str">
        <f t="shared" ca="1" si="1"/>
        <v>-</v>
      </c>
      <c r="M27" s="100" t="str">
        <f t="shared" ca="1" si="2"/>
        <v>-</v>
      </c>
      <c r="N27" s="107" t="s">
        <v>156</v>
      </c>
      <c r="O27" s="174">
        <f t="shared" si="3"/>
        <v>3</v>
      </c>
      <c r="P27" s="101">
        <f t="shared" si="4"/>
        <v>3</v>
      </c>
      <c r="Q27" s="103">
        <f t="shared" si="5"/>
        <v>7</v>
      </c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</row>
    <row r="28" spans="1:105" s="10" customFormat="1" ht="17.25" customHeight="1">
      <c r="A28" s="96" t="s">
        <v>110</v>
      </c>
      <c r="B28" s="97" t="s">
        <v>80</v>
      </c>
      <c r="C28" s="193">
        <v>44115</v>
      </c>
      <c r="D28" s="193">
        <v>44120</v>
      </c>
      <c r="E28" s="193">
        <v>44120</v>
      </c>
      <c r="F28" s="193">
        <v>44120</v>
      </c>
      <c r="G28" s="98" t="s">
        <v>12</v>
      </c>
      <c r="H28" s="106" t="s">
        <v>154</v>
      </c>
      <c r="I28" s="99" t="s">
        <v>155</v>
      </c>
      <c r="J28" s="105" t="s">
        <v>9</v>
      </c>
      <c r="K28" s="100" t="str">
        <f t="shared" ca="1" si="0"/>
        <v>-</v>
      </c>
      <c r="L28" s="100" t="str">
        <f t="shared" ca="1" si="1"/>
        <v>-</v>
      </c>
      <c r="M28" s="100" t="str">
        <f t="shared" ca="1" si="2"/>
        <v>-</v>
      </c>
      <c r="N28" s="107" t="s">
        <v>156</v>
      </c>
      <c r="O28" s="174">
        <f t="shared" si="3"/>
        <v>0</v>
      </c>
      <c r="P28" s="102">
        <f t="shared" si="4"/>
        <v>0</v>
      </c>
      <c r="Q28" s="103">
        <f t="shared" si="5"/>
        <v>6</v>
      </c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</row>
    <row r="29" spans="1:105" s="10" customFormat="1" ht="17.25" customHeight="1">
      <c r="A29" s="96" t="s">
        <v>111</v>
      </c>
      <c r="B29" s="97" t="s">
        <v>83</v>
      </c>
      <c r="C29" s="193">
        <v>44115</v>
      </c>
      <c r="D29" s="193">
        <v>44116</v>
      </c>
      <c r="E29" s="193">
        <v>44117</v>
      </c>
      <c r="F29" s="193">
        <v>44119</v>
      </c>
      <c r="G29" s="106" t="s">
        <v>26</v>
      </c>
      <c r="H29" s="106" t="s">
        <v>154</v>
      </c>
      <c r="I29" s="99" t="s">
        <v>155</v>
      </c>
      <c r="J29" s="105" t="s">
        <v>9</v>
      </c>
      <c r="K29" s="100" t="str">
        <f t="shared" ca="1" si="0"/>
        <v>-</v>
      </c>
      <c r="L29" s="100" t="str">
        <f t="shared" ca="1" si="1"/>
        <v>-</v>
      </c>
      <c r="M29" s="100" t="str">
        <f t="shared" ca="1" si="2"/>
        <v>-</v>
      </c>
      <c r="N29" s="107" t="s">
        <v>156</v>
      </c>
      <c r="O29" s="174">
        <f t="shared" si="3"/>
        <v>1</v>
      </c>
      <c r="P29" s="102">
        <f t="shared" si="4"/>
        <v>3</v>
      </c>
      <c r="Q29" s="103" t="str">
        <f t="shared" si="5"/>
        <v/>
      </c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</row>
    <row r="30" spans="1:105" s="10" customFormat="1" ht="17.25" customHeight="1">
      <c r="A30" s="96" t="s">
        <v>112</v>
      </c>
      <c r="B30" s="176" t="s">
        <v>82</v>
      </c>
      <c r="C30" s="193">
        <v>44115</v>
      </c>
      <c r="D30" s="193">
        <v>44116</v>
      </c>
      <c r="E30" s="193">
        <v>44117</v>
      </c>
      <c r="F30" s="193">
        <v>44117</v>
      </c>
      <c r="G30" s="98" t="s">
        <v>25</v>
      </c>
      <c r="H30" s="106" t="s">
        <v>154</v>
      </c>
      <c r="I30" s="99" t="s">
        <v>155</v>
      </c>
      <c r="J30" s="104" t="s">
        <v>9</v>
      </c>
      <c r="K30" s="100" t="str">
        <f t="shared" ca="1" si="0"/>
        <v>-</v>
      </c>
      <c r="L30" s="100" t="str">
        <f t="shared" ca="1" si="1"/>
        <v>-</v>
      </c>
      <c r="M30" s="100" t="str">
        <f t="shared" ca="1" si="2"/>
        <v>-</v>
      </c>
      <c r="N30" s="107" t="s">
        <v>156</v>
      </c>
      <c r="O30" s="174">
        <f t="shared" si="3"/>
        <v>1</v>
      </c>
      <c r="P30" s="101">
        <f t="shared" si="4"/>
        <v>1</v>
      </c>
      <c r="Q30" s="103" t="str">
        <f t="shared" si="5"/>
        <v/>
      </c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</row>
    <row r="31" spans="1:105" s="10" customFormat="1" ht="17.25" customHeight="1">
      <c r="A31" s="96" t="s">
        <v>113</v>
      </c>
      <c r="B31" s="97" t="s">
        <v>80</v>
      </c>
      <c r="C31" s="193">
        <v>44115</v>
      </c>
      <c r="D31" s="193">
        <v>44115</v>
      </c>
      <c r="E31" s="193">
        <v>44118</v>
      </c>
      <c r="F31" s="193">
        <v>44118</v>
      </c>
      <c r="G31" s="106" t="s">
        <v>26</v>
      </c>
      <c r="H31" s="106" t="s">
        <v>154</v>
      </c>
      <c r="I31" s="99" t="s">
        <v>155</v>
      </c>
      <c r="J31" s="105" t="s">
        <v>9</v>
      </c>
      <c r="K31" s="100" t="str">
        <f t="shared" ca="1" si="0"/>
        <v>-</v>
      </c>
      <c r="L31" s="100" t="str">
        <f t="shared" ca="1" si="1"/>
        <v>-</v>
      </c>
      <c r="M31" s="100" t="str">
        <f t="shared" ca="1" si="2"/>
        <v>-</v>
      </c>
      <c r="N31" s="107" t="s">
        <v>156</v>
      </c>
      <c r="O31" s="174">
        <f t="shared" si="3"/>
        <v>3</v>
      </c>
      <c r="P31" s="102">
        <f t="shared" si="4"/>
        <v>3</v>
      </c>
      <c r="Q31" s="103">
        <f t="shared" si="5"/>
        <v>1</v>
      </c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</row>
    <row r="32" spans="1:105" s="10" customFormat="1" ht="17.25" customHeight="1">
      <c r="A32" s="96" t="s">
        <v>114</v>
      </c>
      <c r="B32" s="97" t="s">
        <v>82</v>
      </c>
      <c r="C32" s="193">
        <v>44115</v>
      </c>
      <c r="D32" s="193">
        <v>44115</v>
      </c>
      <c r="E32" s="193">
        <v>44118</v>
      </c>
      <c r="F32" s="193">
        <v>44118</v>
      </c>
      <c r="G32" s="98" t="s">
        <v>25</v>
      </c>
      <c r="H32" s="106" t="s">
        <v>154</v>
      </c>
      <c r="I32" s="99" t="s">
        <v>155</v>
      </c>
      <c r="J32" s="105" t="s">
        <v>9</v>
      </c>
      <c r="K32" s="100" t="str">
        <f t="shared" ca="1" si="0"/>
        <v>-</v>
      </c>
      <c r="L32" s="100" t="str">
        <f t="shared" ca="1" si="1"/>
        <v>-</v>
      </c>
      <c r="M32" s="100" t="str">
        <f t="shared" ca="1" si="2"/>
        <v>-</v>
      </c>
      <c r="N32" s="107" t="s">
        <v>156</v>
      </c>
      <c r="O32" s="174">
        <f t="shared" si="3"/>
        <v>3</v>
      </c>
      <c r="P32" s="101">
        <f t="shared" si="4"/>
        <v>3</v>
      </c>
      <c r="Q32" s="103">
        <f t="shared" si="5"/>
        <v>1</v>
      </c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</row>
    <row r="33" spans="1:105" s="10" customFormat="1" ht="17.25" customHeight="1">
      <c r="A33" s="96" t="s">
        <v>115</v>
      </c>
      <c r="B33" s="97" t="s">
        <v>81</v>
      </c>
      <c r="C33" s="193">
        <v>44054</v>
      </c>
      <c r="D33" s="193">
        <v>44054</v>
      </c>
      <c r="E33" s="193"/>
      <c r="F33" s="193"/>
      <c r="G33" s="98" t="s">
        <v>25</v>
      </c>
      <c r="H33" s="106" t="s">
        <v>154</v>
      </c>
      <c r="I33" s="99" t="s">
        <v>155</v>
      </c>
      <c r="J33" s="105" t="s">
        <v>7</v>
      </c>
      <c r="K33" s="100">
        <f t="shared" ca="1" si="0"/>
        <v>82</v>
      </c>
      <c r="L33" s="100">
        <f t="shared" ca="1" si="1"/>
        <v>82</v>
      </c>
      <c r="M33" s="100" t="str">
        <f t="shared" ca="1" si="2"/>
        <v/>
      </c>
      <c r="N33" s="107" t="s">
        <v>156</v>
      </c>
      <c r="O33" s="174">
        <f t="shared" ca="1" si="3"/>
        <v>82</v>
      </c>
      <c r="P33" s="101">
        <f t="shared" ca="1" si="4"/>
        <v>82</v>
      </c>
      <c r="Q33" s="103" t="str">
        <f t="shared" si="5"/>
        <v/>
      </c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</row>
    <row r="34" spans="1:105" s="10" customFormat="1" ht="17.25" customHeight="1">
      <c r="A34" s="96" t="s">
        <v>116</v>
      </c>
      <c r="B34" s="97" t="s">
        <v>84</v>
      </c>
      <c r="C34" s="193">
        <v>44116</v>
      </c>
      <c r="D34" s="193">
        <v>44116</v>
      </c>
      <c r="E34" s="193"/>
      <c r="F34" s="193"/>
      <c r="G34" s="98" t="s">
        <v>12</v>
      </c>
      <c r="H34" s="106" t="s">
        <v>154</v>
      </c>
      <c r="I34" s="99" t="s">
        <v>155</v>
      </c>
      <c r="J34" s="105" t="s">
        <v>7</v>
      </c>
      <c r="K34" s="100">
        <f t="shared" ca="1" si="0"/>
        <v>20</v>
      </c>
      <c r="L34" s="100">
        <f t="shared" ca="1" si="1"/>
        <v>20</v>
      </c>
      <c r="M34" s="100" t="str">
        <f t="shared" ca="1" si="2"/>
        <v/>
      </c>
      <c r="N34" s="107" t="s">
        <v>156</v>
      </c>
      <c r="O34" s="174">
        <f t="shared" ca="1" si="3"/>
        <v>20</v>
      </c>
      <c r="P34" s="101">
        <f t="shared" ca="1" si="4"/>
        <v>20</v>
      </c>
      <c r="Q34" s="103" t="str">
        <f t="shared" si="5"/>
        <v/>
      </c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</row>
    <row r="35" spans="1:105" s="10" customFormat="1" ht="17.25" customHeight="1">
      <c r="A35" s="96" t="s">
        <v>117</v>
      </c>
      <c r="B35" s="97" t="s">
        <v>82</v>
      </c>
      <c r="C35" s="193">
        <v>44115</v>
      </c>
      <c r="D35" s="193">
        <v>44115</v>
      </c>
      <c r="E35" s="193">
        <v>44118</v>
      </c>
      <c r="F35" s="193"/>
      <c r="G35" s="98" t="s">
        <v>22</v>
      </c>
      <c r="H35" s="106" t="s">
        <v>154</v>
      </c>
      <c r="I35" s="99" t="s">
        <v>155</v>
      </c>
      <c r="J35" s="104" t="s">
        <v>10</v>
      </c>
      <c r="K35" s="100">
        <f t="shared" ca="1" si="0"/>
        <v>21</v>
      </c>
      <c r="L35" s="100">
        <f t="shared" ca="1" si="1"/>
        <v>21</v>
      </c>
      <c r="M35" s="100" t="str">
        <f t="shared" ca="1" si="2"/>
        <v/>
      </c>
      <c r="N35" s="107" t="s">
        <v>156</v>
      </c>
      <c r="O35" s="174">
        <f t="shared" si="3"/>
        <v>3</v>
      </c>
      <c r="P35" s="101">
        <f t="shared" ca="1" si="4"/>
        <v>21</v>
      </c>
      <c r="Q35" s="103">
        <f t="shared" si="5"/>
        <v>1</v>
      </c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</row>
    <row r="36" spans="1:105" s="10" customFormat="1" ht="17.25" customHeight="1">
      <c r="A36" s="96" t="s">
        <v>118</v>
      </c>
      <c r="B36" s="97" t="s">
        <v>83</v>
      </c>
      <c r="C36" s="193">
        <v>44116</v>
      </c>
      <c r="D36" s="193">
        <v>44124</v>
      </c>
      <c r="E36" s="193">
        <v>44125</v>
      </c>
      <c r="F36" s="193">
        <v>44127</v>
      </c>
      <c r="G36" s="98" t="s">
        <v>22</v>
      </c>
      <c r="H36" s="106" t="s">
        <v>154</v>
      </c>
      <c r="I36" s="99" t="s">
        <v>155</v>
      </c>
      <c r="J36" s="99" t="s">
        <v>9</v>
      </c>
      <c r="K36" s="100" t="str">
        <f t="shared" ca="1" si="0"/>
        <v>-</v>
      </c>
      <c r="L36" s="100" t="str">
        <f t="shared" ca="1" si="1"/>
        <v>-</v>
      </c>
      <c r="M36" s="100" t="str">
        <f t="shared" ca="1" si="2"/>
        <v>-</v>
      </c>
      <c r="N36" s="107" t="s">
        <v>156</v>
      </c>
      <c r="O36" s="174">
        <f t="shared" si="3"/>
        <v>1</v>
      </c>
      <c r="P36" s="101">
        <f t="shared" si="4"/>
        <v>3</v>
      </c>
      <c r="Q36" s="103" t="str">
        <f t="shared" si="5"/>
        <v/>
      </c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</row>
    <row r="37" spans="1:105" s="10" customFormat="1" ht="17.25" customHeight="1">
      <c r="A37" s="96" t="s">
        <v>119</v>
      </c>
      <c r="B37" s="97" t="s">
        <v>80</v>
      </c>
      <c r="C37" s="193">
        <v>44116</v>
      </c>
      <c r="D37" s="193">
        <v>44117</v>
      </c>
      <c r="E37" s="193">
        <v>44118</v>
      </c>
      <c r="F37" s="193">
        <v>44118</v>
      </c>
      <c r="G37" s="98" t="s">
        <v>25</v>
      </c>
      <c r="H37" s="106" t="s">
        <v>154</v>
      </c>
      <c r="I37" s="99" t="s">
        <v>155</v>
      </c>
      <c r="J37" s="104" t="s">
        <v>9</v>
      </c>
      <c r="K37" s="100" t="str">
        <f t="shared" ca="1" si="0"/>
        <v>-</v>
      </c>
      <c r="L37" s="100" t="str">
        <f t="shared" ca="1" si="1"/>
        <v>-</v>
      </c>
      <c r="M37" s="100" t="str">
        <f t="shared" ca="1" si="2"/>
        <v>-</v>
      </c>
      <c r="N37" s="107" t="s">
        <v>156</v>
      </c>
      <c r="O37" s="174">
        <f t="shared" si="3"/>
        <v>1</v>
      </c>
      <c r="P37" s="101">
        <f t="shared" si="4"/>
        <v>1</v>
      </c>
      <c r="Q37" s="103" t="str">
        <f t="shared" si="5"/>
        <v/>
      </c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</row>
    <row r="38" spans="1:105" s="10" customFormat="1" ht="17.25" customHeight="1">
      <c r="A38" s="96" t="s">
        <v>120</v>
      </c>
      <c r="B38" s="97" t="s">
        <v>83</v>
      </c>
      <c r="C38" s="193">
        <v>44116</v>
      </c>
      <c r="D38" s="193">
        <v>44117</v>
      </c>
      <c r="E38" s="193">
        <v>44117</v>
      </c>
      <c r="F38" s="193">
        <v>44117</v>
      </c>
      <c r="G38" s="98" t="s">
        <v>25</v>
      </c>
      <c r="H38" s="106" t="s">
        <v>154</v>
      </c>
      <c r="I38" s="99" t="s">
        <v>155</v>
      </c>
      <c r="J38" s="99" t="s">
        <v>9</v>
      </c>
      <c r="K38" s="100" t="str">
        <f t="shared" ca="1" si="0"/>
        <v>-</v>
      </c>
      <c r="L38" s="100" t="str">
        <f t="shared" ca="1" si="1"/>
        <v>-</v>
      </c>
      <c r="M38" s="100" t="str">
        <f t="shared" ca="1" si="2"/>
        <v>-</v>
      </c>
      <c r="N38" s="107" t="s">
        <v>156</v>
      </c>
      <c r="O38" s="174">
        <f t="shared" si="3"/>
        <v>0</v>
      </c>
      <c r="P38" s="102">
        <f t="shared" si="4"/>
        <v>0</v>
      </c>
      <c r="Q38" s="103" t="str">
        <f t="shared" si="5"/>
        <v/>
      </c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</row>
    <row r="39" spans="1:105" s="10" customFormat="1" ht="17.25" customHeight="1">
      <c r="A39" s="96" t="s">
        <v>121</v>
      </c>
      <c r="B39" s="176" t="s">
        <v>80</v>
      </c>
      <c r="C39" s="175">
        <v>44066</v>
      </c>
      <c r="D39" s="175">
        <v>44071</v>
      </c>
      <c r="E39" s="175">
        <v>44071</v>
      </c>
      <c r="F39" s="193"/>
      <c r="G39" s="106" t="s">
        <v>26</v>
      </c>
      <c r="H39" s="106" t="s">
        <v>154</v>
      </c>
      <c r="I39" s="99" t="s">
        <v>155</v>
      </c>
      <c r="J39" s="105" t="s">
        <v>10</v>
      </c>
      <c r="K39" s="100">
        <f t="shared" ref="K39:K71" ca="1" si="6">IF(C39&gt;0, IF((OR(J39="PD",J39="SR")),(TODAY()-C39),IF(OR(J39="OK",J39="RS"),"-", "")), "")</f>
        <v>70</v>
      </c>
      <c r="L39" s="100">
        <f t="shared" ref="L39:L71" ca="1" si="7">IF(D39&gt;0,IF((OR(J39="PD",J39="SR")),(TODAY()-D39),IF(OR(J39="OK",J39="RS"),"-", "")), "")</f>
        <v>65</v>
      </c>
      <c r="M39" s="100" t="str">
        <f t="shared" ref="M39:M71" ca="1" si="8">IF(D39&gt;0,IF(J39="RS",(TODAY()-D39),IF(J39="OK","-", "")), "")</f>
        <v/>
      </c>
      <c r="N39" s="107" t="s">
        <v>156</v>
      </c>
      <c r="O39" s="174">
        <f t="shared" ref="O39:O71" si="9">IF(J39="SR",L39,IF(OR(E39="-",D39="-"),"-",IF((E39&gt;0),(E39-D39),"")))</f>
        <v>0</v>
      </c>
      <c r="P39" s="102">
        <f t="shared" ref="P39:P71" ca="1" si="10">IF(OR(J39="SR",J39="PD"),L39,IF(OR(F39="-",D39="-"),"-",IF((F39),(F39-D39),"")))</f>
        <v>65</v>
      </c>
      <c r="Q39" s="103">
        <f t="shared" ref="Q39:Q71" si="11">IF(D39="-","-",IF(OR(WEEKDAY(D39)=6,WEEKDAY(D39)=7,WEEKDAY(D39)=1),WEEKDAY(D39),""))</f>
        <v>6</v>
      </c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</row>
    <row r="40" spans="1:105" s="10" customFormat="1" ht="17.25" customHeight="1">
      <c r="A40" s="96" t="s">
        <v>122</v>
      </c>
      <c r="B40" s="97" t="s">
        <v>83</v>
      </c>
      <c r="C40" s="193">
        <v>44168</v>
      </c>
      <c r="D40" s="193">
        <v>44169</v>
      </c>
      <c r="E40" s="193">
        <v>44169</v>
      </c>
      <c r="F40" s="193">
        <v>44169</v>
      </c>
      <c r="G40" s="98" t="s">
        <v>23</v>
      </c>
      <c r="H40" s="106" t="s">
        <v>154</v>
      </c>
      <c r="I40" s="99" t="s">
        <v>155</v>
      </c>
      <c r="J40" s="99" t="s">
        <v>9</v>
      </c>
      <c r="K40" s="100" t="str">
        <f t="shared" ca="1" si="6"/>
        <v>-</v>
      </c>
      <c r="L40" s="100" t="str">
        <f t="shared" ca="1" si="7"/>
        <v>-</v>
      </c>
      <c r="M40" s="100" t="str">
        <f t="shared" ca="1" si="8"/>
        <v>-</v>
      </c>
      <c r="N40" s="107" t="s">
        <v>156</v>
      </c>
      <c r="O40" s="174">
        <f t="shared" si="9"/>
        <v>0</v>
      </c>
      <c r="P40" s="101">
        <f t="shared" si="10"/>
        <v>0</v>
      </c>
      <c r="Q40" s="103">
        <f t="shared" si="11"/>
        <v>6</v>
      </c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</row>
    <row r="41" spans="1:105" s="10" customFormat="1" ht="17.25" customHeight="1">
      <c r="A41" s="96" t="s">
        <v>123</v>
      </c>
      <c r="B41" s="176" t="s">
        <v>82</v>
      </c>
      <c r="C41" s="175">
        <v>44066</v>
      </c>
      <c r="D41" s="175">
        <v>44071</v>
      </c>
      <c r="E41" s="175">
        <v>44071</v>
      </c>
      <c r="F41" s="175">
        <v>44071</v>
      </c>
      <c r="G41" s="98" t="s">
        <v>25</v>
      </c>
      <c r="H41" s="106" t="s">
        <v>154</v>
      </c>
      <c r="I41" s="99" t="s">
        <v>155</v>
      </c>
      <c r="J41" s="99" t="s">
        <v>9</v>
      </c>
      <c r="K41" s="100" t="str">
        <f t="shared" ca="1" si="6"/>
        <v>-</v>
      </c>
      <c r="L41" s="100" t="str">
        <f t="shared" ca="1" si="7"/>
        <v>-</v>
      </c>
      <c r="M41" s="100" t="str">
        <f t="shared" ca="1" si="8"/>
        <v>-</v>
      </c>
      <c r="N41" s="107" t="s">
        <v>156</v>
      </c>
      <c r="O41" s="174">
        <f t="shared" si="9"/>
        <v>0</v>
      </c>
      <c r="P41" s="101">
        <f t="shared" si="10"/>
        <v>0</v>
      </c>
      <c r="Q41" s="103">
        <f t="shared" si="11"/>
        <v>6</v>
      </c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</row>
    <row r="42" spans="1:105" s="10" customFormat="1" ht="17.25" customHeight="1">
      <c r="A42" s="96" t="s">
        <v>124</v>
      </c>
      <c r="B42" s="97" t="s">
        <v>82</v>
      </c>
      <c r="C42" s="175">
        <v>44066</v>
      </c>
      <c r="D42" s="175">
        <v>44068</v>
      </c>
      <c r="E42" s="175">
        <v>44068</v>
      </c>
      <c r="F42" s="175">
        <v>44068</v>
      </c>
      <c r="G42" s="98" t="s">
        <v>25</v>
      </c>
      <c r="H42" s="106" t="s">
        <v>154</v>
      </c>
      <c r="I42" s="99" t="s">
        <v>155</v>
      </c>
      <c r="J42" s="105" t="s">
        <v>9</v>
      </c>
      <c r="K42" s="100" t="str">
        <f t="shared" ca="1" si="6"/>
        <v>-</v>
      </c>
      <c r="L42" s="100" t="str">
        <f t="shared" ca="1" si="7"/>
        <v>-</v>
      </c>
      <c r="M42" s="100" t="str">
        <f t="shared" ca="1" si="8"/>
        <v>-</v>
      </c>
      <c r="N42" s="107" t="s">
        <v>156</v>
      </c>
      <c r="O42" s="174">
        <f t="shared" si="9"/>
        <v>0</v>
      </c>
      <c r="P42" s="101">
        <f t="shared" si="10"/>
        <v>0</v>
      </c>
      <c r="Q42" s="103" t="str">
        <f t="shared" si="11"/>
        <v/>
      </c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</row>
    <row r="43" spans="1:105" s="10" customFormat="1" ht="17.25" customHeight="1">
      <c r="A43" s="96" t="s">
        <v>125</v>
      </c>
      <c r="B43" s="97" t="s">
        <v>83</v>
      </c>
      <c r="C43" s="175">
        <v>44066</v>
      </c>
      <c r="D43" s="175">
        <v>44067</v>
      </c>
      <c r="E43" s="175">
        <v>44067</v>
      </c>
      <c r="F43" s="175">
        <v>44067</v>
      </c>
      <c r="G43" s="98" t="s">
        <v>22</v>
      </c>
      <c r="H43" s="106" t="s">
        <v>154</v>
      </c>
      <c r="I43" s="99" t="s">
        <v>155</v>
      </c>
      <c r="J43" s="105" t="s">
        <v>9</v>
      </c>
      <c r="K43" s="100" t="str">
        <f t="shared" ca="1" si="6"/>
        <v>-</v>
      </c>
      <c r="L43" s="100" t="str">
        <f t="shared" ca="1" si="7"/>
        <v>-</v>
      </c>
      <c r="M43" s="100" t="str">
        <f t="shared" ca="1" si="8"/>
        <v>-</v>
      </c>
      <c r="N43" s="107" t="s">
        <v>156</v>
      </c>
      <c r="O43" s="174">
        <f t="shared" si="9"/>
        <v>0</v>
      </c>
      <c r="P43" s="101">
        <f t="shared" si="10"/>
        <v>0</v>
      </c>
      <c r="Q43" s="103" t="str">
        <f t="shared" si="11"/>
        <v/>
      </c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</row>
    <row r="44" spans="1:105" s="10" customFormat="1" ht="17.25" customHeight="1">
      <c r="A44" s="96" t="s">
        <v>126</v>
      </c>
      <c r="B44" s="176" t="s">
        <v>80</v>
      </c>
      <c r="C44" s="175">
        <v>44066</v>
      </c>
      <c r="D44" s="175">
        <v>44067</v>
      </c>
      <c r="E44" s="175">
        <v>44067</v>
      </c>
      <c r="F44" s="175">
        <v>44067</v>
      </c>
      <c r="G44" s="98" t="s">
        <v>25</v>
      </c>
      <c r="H44" s="106" t="s">
        <v>154</v>
      </c>
      <c r="I44" s="99" t="s">
        <v>155</v>
      </c>
      <c r="J44" s="105" t="s">
        <v>9</v>
      </c>
      <c r="K44" s="100" t="str">
        <f t="shared" ca="1" si="6"/>
        <v>-</v>
      </c>
      <c r="L44" s="100" t="str">
        <f t="shared" ca="1" si="7"/>
        <v>-</v>
      </c>
      <c r="M44" s="100" t="str">
        <f t="shared" ca="1" si="8"/>
        <v>-</v>
      </c>
      <c r="N44" s="107" t="s">
        <v>156</v>
      </c>
      <c r="O44" s="174">
        <f t="shared" si="9"/>
        <v>0</v>
      </c>
      <c r="P44" s="102">
        <f t="shared" si="10"/>
        <v>0</v>
      </c>
      <c r="Q44" s="103" t="str">
        <f t="shared" si="11"/>
        <v/>
      </c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</row>
    <row r="45" spans="1:105" s="10" customFormat="1" ht="17.25" customHeight="1">
      <c r="A45" s="96" t="s">
        <v>127</v>
      </c>
      <c r="B45" s="97" t="s">
        <v>87</v>
      </c>
      <c r="C45" s="175">
        <v>44066</v>
      </c>
      <c r="D45" s="175">
        <v>44067</v>
      </c>
      <c r="E45" s="175">
        <v>44069</v>
      </c>
      <c r="F45" s="175">
        <v>44069</v>
      </c>
      <c r="G45" s="106" t="s">
        <v>26</v>
      </c>
      <c r="H45" s="106" t="s">
        <v>154</v>
      </c>
      <c r="I45" s="99" t="s">
        <v>155</v>
      </c>
      <c r="J45" s="104" t="s">
        <v>9</v>
      </c>
      <c r="K45" s="100" t="str">
        <f t="shared" ca="1" si="6"/>
        <v>-</v>
      </c>
      <c r="L45" s="100" t="str">
        <f t="shared" ca="1" si="7"/>
        <v>-</v>
      </c>
      <c r="M45" s="100" t="str">
        <f t="shared" ca="1" si="8"/>
        <v>-</v>
      </c>
      <c r="N45" s="107" t="s">
        <v>156</v>
      </c>
      <c r="O45" s="174">
        <f t="shared" si="9"/>
        <v>2</v>
      </c>
      <c r="P45" s="101">
        <f t="shared" si="10"/>
        <v>2</v>
      </c>
      <c r="Q45" s="103" t="str">
        <f t="shared" si="11"/>
        <v/>
      </c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</row>
    <row r="46" spans="1:105" s="10" customFormat="1" ht="17.25" customHeight="1">
      <c r="A46" s="96" t="s">
        <v>128</v>
      </c>
      <c r="B46" s="97" t="s">
        <v>82</v>
      </c>
      <c r="C46" s="175">
        <v>44066</v>
      </c>
      <c r="D46" s="175">
        <v>44067</v>
      </c>
      <c r="E46" s="175">
        <v>44067</v>
      </c>
      <c r="F46" s="175">
        <v>44069</v>
      </c>
      <c r="G46" s="98" t="s">
        <v>23</v>
      </c>
      <c r="H46" s="106" t="s">
        <v>154</v>
      </c>
      <c r="I46" s="99" t="s">
        <v>155</v>
      </c>
      <c r="J46" s="99" t="s">
        <v>9</v>
      </c>
      <c r="K46" s="100" t="str">
        <f t="shared" ca="1" si="6"/>
        <v>-</v>
      </c>
      <c r="L46" s="100" t="str">
        <f t="shared" ca="1" si="7"/>
        <v>-</v>
      </c>
      <c r="M46" s="100" t="str">
        <f t="shared" ca="1" si="8"/>
        <v>-</v>
      </c>
      <c r="N46" s="107" t="s">
        <v>156</v>
      </c>
      <c r="O46" s="174">
        <f t="shared" si="9"/>
        <v>0</v>
      </c>
      <c r="P46" s="101">
        <f t="shared" si="10"/>
        <v>2</v>
      </c>
      <c r="Q46" s="103" t="str">
        <f t="shared" si="11"/>
        <v/>
      </c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</row>
    <row r="47" spans="1:105" s="10" customFormat="1" ht="17.25" customHeight="1">
      <c r="A47" s="96" t="s">
        <v>129</v>
      </c>
      <c r="B47" s="97" t="s">
        <v>85</v>
      </c>
      <c r="C47" s="175">
        <v>44066</v>
      </c>
      <c r="D47" s="175">
        <v>44067</v>
      </c>
      <c r="E47" s="175">
        <v>44067</v>
      </c>
      <c r="F47" s="175">
        <v>44067</v>
      </c>
      <c r="G47" s="98" t="s">
        <v>25</v>
      </c>
      <c r="H47" s="106" t="s">
        <v>154</v>
      </c>
      <c r="I47" s="99" t="s">
        <v>155</v>
      </c>
      <c r="J47" s="99" t="s">
        <v>9</v>
      </c>
      <c r="K47" s="100" t="str">
        <f t="shared" ca="1" si="6"/>
        <v>-</v>
      </c>
      <c r="L47" s="100" t="str">
        <f t="shared" ca="1" si="7"/>
        <v>-</v>
      </c>
      <c r="M47" s="100" t="str">
        <f t="shared" ca="1" si="8"/>
        <v>-</v>
      </c>
      <c r="N47" s="107" t="s">
        <v>156</v>
      </c>
      <c r="O47" s="174">
        <f t="shared" si="9"/>
        <v>0</v>
      </c>
      <c r="P47" s="101">
        <f t="shared" si="10"/>
        <v>0</v>
      </c>
      <c r="Q47" s="103" t="str">
        <f t="shared" si="11"/>
        <v/>
      </c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</row>
    <row r="48" spans="1:105" s="10" customFormat="1" ht="17.25" customHeight="1">
      <c r="A48" s="96" t="s">
        <v>130</v>
      </c>
      <c r="B48" s="97" t="s">
        <v>83</v>
      </c>
      <c r="C48" s="175">
        <v>44066</v>
      </c>
      <c r="D48" s="175">
        <v>44067</v>
      </c>
      <c r="E48" s="175">
        <v>44069</v>
      </c>
      <c r="F48" s="175"/>
      <c r="G48" s="98" t="s">
        <v>23</v>
      </c>
      <c r="H48" s="106" t="s">
        <v>154</v>
      </c>
      <c r="I48" s="99" t="s">
        <v>155</v>
      </c>
      <c r="J48" s="99" t="s">
        <v>10</v>
      </c>
      <c r="K48" s="100">
        <f t="shared" ca="1" si="6"/>
        <v>70</v>
      </c>
      <c r="L48" s="100">
        <f t="shared" ca="1" si="7"/>
        <v>69</v>
      </c>
      <c r="M48" s="100" t="str">
        <f t="shared" ca="1" si="8"/>
        <v/>
      </c>
      <c r="N48" s="107" t="s">
        <v>156</v>
      </c>
      <c r="O48" s="174">
        <f t="shared" si="9"/>
        <v>2</v>
      </c>
      <c r="P48" s="101">
        <f t="shared" ca="1" si="10"/>
        <v>69</v>
      </c>
      <c r="Q48" s="103" t="str">
        <f t="shared" si="11"/>
        <v/>
      </c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</row>
    <row r="49" spans="1:105" s="10" customFormat="1" ht="17.25" customHeight="1">
      <c r="A49" s="96" t="s">
        <v>131</v>
      </c>
      <c r="B49" s="97" t="s">
        <v>82</v>
      </c>
      <c r="C49" s="175">
        <v>44066</v>
      </c>
      <c r="D49" s="175">
        <v>44067</v>
      </c>
      <c r="E49" s="175">
        <v>44067</v>
      </c>
      <c r="F49" s="175">
        <v>44068</v>
      </c>
      <c r="G49" s="98" t="s">
        <v>25</v>
      </c>
      <c r="H49" s="106" t="s">
        <v>154</v>
      </c>
      <c r="I49" s="99" t="s">
        <v>155</v>
      </c>
      <c r="J49" s="99" t="s">
        <v>9</v>
      </c>
      <c r="K49" s="100" t="str">
        <f t="shared" ca="1" si="6"/>
        <v>-</v>
      </c>
      <c r="L49" s="100" t="str">
        <f t="shared" ca="1" si="7"/>
        <v>-</v>
      </c>
      <c r="M49" s="100" t="str">
        <f t="shared" ca="1" si="8"/>
        <v>-</v>
      </c>
      <c r="N49" s="107" t="s">
        <v>156</v>
      </c>
      <c r="O49" s="174">
        <f t="shared" si="9"/>
        <v>0</v>
      </c>
      <c r="P49" s="101">
        <f t="shared" si="10"/>
        <v>1</v>
      </c>
      <c r="Q49" s="103" t="str">
        <f t="shared" si="11"/>
        <v/>
      </c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</row>
    <row r="50" spans="1:105" s="10" customFormat="1" ht="17.25" customHeight="1">
      <c r="A50" s="96" t="s">
        <v>132</v>
      </c>
      <c r="B50" s="176" t="s">
        <v>80</v>
      </c>
      <c r="C50" s="175">
        <v>44066</v>
      </c>
      <c r="D50" s="175">
        <v>44067</v>
      </c>
      <c r="E50" s="175">
        <v>44068</v>
      </c>
      <c r="F50" s="175">
        <v>44068</v>
      </c>
      <c r="G50" s="98" t="s">
        <v>23</v>
      </c>
      <c r="H50" s="106" t="s">
        <v>154</v>
      </c>
      <c r="I50" s="99" t="s">
        <v>155</v>
      </c>
      <c r="J50" s="105" t="s">
        <v>9</v>
      </c>
      <c r="K50" s="100" t="str">
        <f t="shared" ca="1" si="6"/>
        <v>-</v>
      </c>
      <c r="L50" s="100" t="str">
        <f t="shared" ca="1" si="7"/>
        <v>-</v>
      </c>
      <c r="M50" s="100" t="str">
        <f t="shared" ca="1" si="8"/>
        <v>-</v>
      </c>
      <c r="N50" s="107" t="s">
        <v>156</v>
      </c>
      <c r="O50" s="174">
        <f t="shared" si="9"/>
        <v>1</v>
      </c>
      <c r="P50" s="101">
        <f t="shared" si="10"/>
        <v>1</v>
      </c>
      <c r="Q50" s="103" t="str">
        <f t="shared" si="11"/>
        <v/>
      </c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</row>
    <row r="51" spans="1:105" s="10" customFormat="1" ht="17.25" customHeight="1">
      <c r="A51" s="96" t="s">
        <v>133</v>
      </c>
      <c r="B51" s="97" t="s">
        <v>84</v>
      </c>
      <c r="C51" s="193">
        <v>44116</v>
      </c>
      <c r="D51" s="193">
        <v>44116</v>
      </c>
      <c r="E51" s="193"/>
      <c r="F51" s="193"/>
      <c r="G51" s="98" t="s">
        <v>25</v>
      </c>
      <c r="H51" s="106" t="s">
        <v>154</v>
      </c>
      <c r="I51" s="99" t="s">
        <v>155</v>
      </c>
      <c r="J51" s="105" t="s">
        <v>7</v>
      </c>
      <c r="K51" s="100">
        <f t="shared" ca="1" si="6"/>
        <v>20</v>
      </c>
      <c r="L51" s="100">
        <f t="shared" ca="1" si="7"/>
        <v>20</v>
      </c>
      <c r="M51" s="100" t="str">
        <f t="shared" ca="1" si="8"/>
        <v/>
      </c>
      <c r="N51" s="107" t="s">
        <v>156</v>
      </c>
      <c r="O51" s="174">
        <f t="shared" ca="1" si="9"/>
        <v>20</v>
      </c>
      <c r="P51" s="101">
        <f t="shared" ca="1" si="10"/>
        <v>20</v>
      </c>
      <c r="Q51" s="103" t="str">
        <f t="shared" si="11"/>
        <v/>
      </c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</row>
    <row r="52" spans="1:105" s="10" customFormat="1" ht="17.25" customHeight="1">
      <c r="A52" s="96" t="s">
        <v>134</v>
      </c>
      <c r="B52" s="97" t="s">
        <v>83</v>
      </c>
      <c r="C52" s="193">
        <v>44170</v>
      </c>
      <c r="D52" s="193">
        <v>44170</v>
      </c>
      <c r="E52" s="193">
        <v>44172</v>
      </c>
      <c r="F52" s="193">
        <v>44172</v>
      </c>
      <c r="G52" s="98" t="s">
        <v>25</v>
      </c>
      <c r="H52" s="106" t="s">
        <v>154</v>
      </c>
      <c r="I52" s="99" t="s">
        <v>155</v>
      </c>
      <c r="J52" s="99" t="s">
        <v>9</v>
      </c>
      <c r="K52" s="100" t="str">
        <f t="shared" ca="1" si="6"/>
        <v>-</v>
      </c>
      <c r="L52" s="100" t="str">
        <f t="shared" ca="1" si="7"/>
        <v>-</v>
      </c>
      <c r="M52" s="100" t="str">
        <f t="shared" ca="1" si="8"/>
        <v>-</v>
      </c>
      <c r="N52" s="107" t="s">
        <v>156</v>
      </c>
      <c r="O52" s="174">
        <f t="shared" si="9"/>
        <v>2</v>
      </c>
      <c r="P52" s="101">
        <f t="shared" si="10"/>
        <v>2</v>
      </c>
      <c r="Q52" s="103">
        <f t="shared" si="11"/>
        <v>7</v>
      </c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</row>
    <row r="53" spans="1:105" s="10" customFormat="1" ht="17.25" customHeight="1">
      <c r="A53" s="96" t="s">
        <v>135</v>
      </c>
      <c r="B53" s="97" t="s">
        <v>81</v>
      </c>
      <c r="C53" s="193">
        <v>44170</v>
      </c>
      <c r="D53" s="193">
        <v>44170</v>
      </c>
      <c r="E53" s="193">
        <v>44172</v>
      </c>
      <c r="F53" s="193">
        <v>44172</v>
      </c>
      <c r="G53" s="98" t="s">
        <v>11</v>
      </c>
      <c r="H53" s="106" t="s">
        <v>154</v>
      </c>
      <c r="I53" s="99" t="s">
        <v>155</v>
      </c>
      <c r="J53" s="99" t="s">
        <v>9</v>
      </c>
      <c r="K53" s="100" t="str">
        <f t="shared" ca="1" si="6"/>
        <v>-</v>
      </c>
      <c r="L53" s="100" t="str">
        <f t="shared" ca="1" si="7"/>
        <v>-</v>
      </c>
      <c r="M53" s="100" t="str">
        <f t="shared" ca="1" si="8"/>
        <v>-</v>
      </c>
      <c r="N53" s="107" t="s">
        <v>156</v>
      </c>
      <c r="O53" s="174">
        <f t="shared" si="9"/>
        <v>2</v>
      </c>
      <c r="P53" s="101">
        <f t="shared" si="10"/>
        <v>2</v>
      </c>
      <c r="Q53" s="103">
        <f t="shared" si="11"/>
        <v>7</v>
      </c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</row>
    <row r="54" spans="1:105" s="10" customFormat="1" ht="17.25" customHeight="1">
      <c r="A54" s="96" t="s">
        <v>136</v>
      </c>
      <c r="B54" s="176" t="s">
        <v>82</v>
      </c>
      <c r="C54" s="175">
        <v>44051</v>
      </c>
      <c r="D54" s="175">
        <v>44069</v>
      </c>
      <c r="E54" s="175">
        <v>44069</v>
      </c>
      <c r="F54" s="175">
        <v>44069</v>
      </c>
      <c r="G54" s="98" t="s">
        <v>23</v>
      </c>
      <c r="H54" s="106" t="s">
        <v>154</v>
      </c>
      <c r="I54" s="99" t="s">
        <v>155</v>
      </c>
      <c r="J54" s="99" t="s">
        <v>9</v>
      </c>
      <c r="K54" s="100" t="str">
        <f t="shared" ca="1" si="6"/>
        <v>-</v>
      </c>
      <c r="L54" s="100" t="str">
        <f t="shared" ca="1" si="7"/>
        <v>-</v>
      </c>
      <c r="M54" s="100" t="str">
        <f t="shared" ca="1" si="8"/>
        <v>-</v>
      </c>
      <c r="N54" s="107" t="s">
        <v>156</v>
      </c>
      <c r="O54" s="174">
        <f t="shared" si="9"/>
        <v>0</v>
      </c>
      <c r="P54" s="101">
        <f t="shared" si="10"/>
        <v>0</v>
      </c>
      <c r="Q54" s="103" t="str">
        <f t="shared" si="11"/>
        <v/>
      </c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</row>
    <row r="55" spans="1:105" s="10" customFormat="1" ht="17.25" customHeight="1">
      <c r="A55" s="96" t="s">
        <v>137</v>
      </c>
      <c r="B55" s="176" t="s">
        <v>82</v>
      </c>
      <c r="C55" s="175">
        <v>44051</v>
      </c>
      <c r="D55" s="175">
        <v>44058</v>
      </c>
      <c r="E55" s="175">
        <v>44060</v>
      </c>
      <c r="F55" s="175"/>
      <c r="G55" s="98" t="s">
        <v>25</v>
      </c>
      <c r="H55" s="106" t="s">
        <v>154</v>
      </c>
      <c r="I55" s="99" t="s">
        <v>155</v>
      </c>
      <c r="J55" s="99" t="s">
        <v>10</v>
      </c>
      <c r="K55" s="100">
        <f t="shared" ca="1" si="6"/>
        <v>85</v>
      </c>
      <c r="L55" s="100">
        <f t="shared" ca="1" si="7"/>
        <v>78</v>
      </c>
      <c r="M55" s="100" t="str">
        <f t="shared" ca="1" si="8"/>
        <v/>
      </c>
      <c r="N55" s="107" t="s">
        <v>156</v>
      </c>
      <c r="O55" s="174">
        <f t="shared" si="9"/>
        <v>2</v>
      </c>
      <c r="P55" s="101">
        <f t="shared" ca="1" si="10"/>
        <v>78</v>
      </c>
      <c r="Q55" s="103">
        <f t="shared" si="11"/>
        <v>7</v>
      </c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</row>
    <row r="56" spans="1:105" s="10" customFormat="1" ht="17.25" customHeight="1">
      <c r="A56" s="96" t="s">
        <v>138</v>
      </c>
      <c r="B56" s="176" t="s">
        <v>82</v>
      </c>
      <c r="C56" s="175">
        <v>44051</v>
      </c>
      <c r="D56" s="176">
        <v>44051</v>
      </c>
      <c r="E56" s="176">
        <v>44053</v>
      </c>
      <c r="F56" s="176">
        <v>44053</v>
      </c>
      <c r="G56" s="98" t="s">
        <v>25</v>
      </c>
      <c r="H56" s="106" t="s">
        <v>154</v>
      </c>
      <c r="I56" s="99" t="s">
        <v>155</v>
      </c>
      <c r="J56" s="99" t="s">
        <v>9</v>
      </c>
      <c r="K56" s="100" t="str">
        <f t="shared" ca="1" si="6"/>
        <v>-</v>
      </c>
      <c r="L56" s="100" t="str">
        <f t="shared" ca="1" si="7"/>
        <v>-</v>
      </c>
      <c r="M56" s="100" t="str">
        <f t="shared" ca="1" si="8"/>
        <v>-</v>
      </c>
      <c r="N56" s="107" t="s">
        <v>156</v>
      </c>
      <c r="O56" s="174">
        <f t="shared" si="9"/>
        <v>2</v>
      </c>
      <c r="P56" s="101">
        <f t="shared" si="10"/>
        <v>2</v>
      </c>
      <c r="Q56" s="103">
        <f t="shared" si="11"/>
        <v>7</v>
      </c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</row>
    <row r="57" spans="1:105" s="10" customFormat="1" ht="17.25" customHeight="1">
      <c r="A57" s="96" t="s">
        <v>139</v>
      </c>
      <c r="B57" s="176" t="s">
        <v>82</v>
      </c>
      <c r="C57" s="175">
        <v>44052</v>
      </c>
      <c r="D57" s="175">
        <v>44067</v>
      </c>
      <c r="E57" s="175">
        <v>44067</v>
      </c>
      <c r="F57" s="175">
        <v>44067</v>
      </c>
      <c r="G57" s="98" t="s">
        <v>23</v>
      </c>
      <c r="H57" s="106" t="s">
        <v>154</v>
      </c>
      <c r="I57" s="99" t="s">
        <v>155</v>
      </c>
      <c r="J57" s="105" t="s">
        <v>9</v>
      </c>
      <c r="K57" s="100" t="str">
        <f t="shared" ca="1" si="6"/>
        <v>-</v>
      </c>
      <c r="L57" s="100" t="str">
        <f t="shared" ca="1" si="7"/>
        <v>-</v>
      </c>
      <c r="M57" s="100" t="str">
        <f t="shared" ca="1" si="8"/>
        <v>-</v>
      </c>
      <c r="N57" s="107" t="s">
        <v>156</v>
      </c>
      <c r="O57" s="174">
        <f t="shared" si="9"/>
        <v>0</v>
      </c>
      <c r="P57" s="102">
        <f t="shared" si="10"/>
        <v>0</v>
      </c>
      <c r="Q57" s="103" t="str">
        <f t="shared" si="11"/>
        <v/>
      </c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</row>
    <row r="58" spans="1:105" s="10" customFormat="1" ht="17.25" customHeight="1">
      <c r="A58" s="96" t="s">
        <v>140</v>
      </c>
      <c r="B58" s="97" t="s">
        <v>80</v>
      </c>
      <c r="C58" s="175">
        <v>44052</v>
      </c>
      <c r="D58" s="175">
        <v>44061</v>
      </c>
      <c r="E58" s="175">
        <v>44062</v>
      </c>
      <c r="F58" s="175"/>
      <c r="G58" s="98" t="s">
        <v>25</v>
      </c>
      <c r="H58" s="106" t="s">
        <v>154</v>
      </c>
      <c r="I58" s="99" t="s">
        <v>155</v>
      </c>
      <c r="J58" s="105" t="s">
        <v>10</v>
      </c>
      <c r="K58" s="100">
        <f t="shared" ca="1" si="6"/>
        <v>84</v>
      </c>
      <c r="L58" s="100">
        <f t="shared" ca="1" si="7"/>
        <v>75</v>
      </c>
      <c r="M58" s="100" t="str">
        <f t="shared" ca="1" si="8"/>
        <v/>
      </c>
      <c r="N58" s="107" t="s">
        <v>156</v>
      </c>
      <c r="O58" s="174">
        <f t="shared" si="9"/>
        <v>1</v>
      </c>
      <c r="P58" s="102">
        <f t="shared" ca="1" si="10"/>
        <v>75</v>
      </c>
      <c r="Q58" s="103" t="str">
        <f t="shared" si="11"/>
        <v/>
      </c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</row>
    <row r="59" spans="1:105" s="10" customFormat="1" ht="17.25" customHeight="1">
      <c r="A59" s="96" t="s">
        <v>141</v>
      </c>
      <c r="B59" s="97" t="s">
        <v>87</v>
      </c>
      <c r="C59" s="175">
        <v>44052</v>
      </c>
      <c r="D59" s="176">
        <v>44060</v>
      </c>
      <c r="E59" s="176">
        <v>44060</v>
      </c>
      <c r="F59" s="176">
        <v>44060</v>
      </c>
      <c r="G59" s="98" t="s">
        <v>25</v>
      </c>
      <c r="H59" s="106" t="s">
        <v>154</v>
      </c>
      <c r="I59" s="99" t="s">
        <v>155</v>
      </c>
      <c r="J59" s="104" t="s">
        <v>9</v>
      </c>
      <c r="K59" s="100" t="str">
        <f t="shared" ca="1" si="6"/>
        <v>-</v>
      </c>
      <c r="L59" s="100" t="str">
        <f t="shared" ca="1" si="7"/>
        <v>-</v>
      </c>
      <c r="M59" s="100" t="str">
        <f t="shared" ca="1" si="8"/>
        <v>-</v>
      </c>
      <c r="N59" s="107" t="s">
        <v>156</v>
      </c>
      <c r="O59" s="174">
        <f t="shared" si="9"/>
        <v>0</v>
      </c>
      <c r="P59" s="101">
        <f t="shared" si="10"/>
        <v>0</v>
      </c>
      <c r="Q59" s="103" t="str">
        <f t="shared" si="11"/>
        <v/>
      </c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</row>
    <row r="60" spans="1:105" s="10" customFormat="1" ht="17.25" customHeight="1">
      <c r="A60" s="96" t="s">
        <v>142</v>
      </c>
      <c r="B60" s="97" t="s">
        <v>82</v>
      </c>
      <c r="C60" s="175">
        <v>44052</v>
      </c>
      <c r="D60" s="175">
        <v>44056</v>
      </c>
      <c r="E60" s="175">
        <v>44060</v>
      </c>
      <c r="F60" s="175">
        <v>44060</v>
      </c>
      <c r="G60" s="98" t="s">
        <v>25</v>
      </c>
      <c r="H60" s="106" t="s">
        <v>154</v>
      </c>
      <c r="I60" s="99" t="s">
        <v>155</v>
      </c>
      <c r="J60" s="99" t="s">
        <v>9</v>
      </c>
      <c r="K60" s="100" t="str">
        <f t="shared" ca="1" si="6"/>
        <v>-</v>
      </c>
      <c r="L60" s="100" t="str">
        <f t="shared" ca="1" si="7"/>
        <v>-</v>
      </c>
      <c r="M60" s="100" t="str">
        <f t="shared" ca="1" si="8"/>
        <v>-</v>
      </c>
      <c r="N60" s="107" t="s">
        <v>156</v>
      </c>
      <c r="O60" s="174">
        <f t="shared" si="9"/>
        <v>4</v>
      </c>
      <c r="P60" s="101">
        <f t="shared" si="10"/>
        <v>4</v>
      </c>
      <c r="Q60" s="103" t="str">
        <f t="shared" si="11"/>
        <v/>
      </c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</row>
    <row r="61" spans="1:105" s="10" customFormat="1" ht="17.25" customHeight="1">
      <c r="A61" s="96" t="s">
        <v>143</v>
      </c>
      <c r="B61" s="176" t="s">
        <v>82</v>
      </c>
      <c r="C61" s="175">
        <v>44052</v>
      </c>
      <c r="D61" s="175">
        <v>44054</v>
      </c>
      <c r="E61" s="175">
        <v>44056</v>
      </c>
      <c r="F61" s="175">
        <v>44056</v>
      </c>
      <c r="G61" s="98" t="s">
        <v>22</v>
      </c>
      <c r="H61" s="106" t="s">
        <v>154</v>
      </c>
      <c r="I61" s="99" t="s">
        <v>155</v>
      </c>
      <c r="J61" s="105" t="s">
        <v>9</v>
      </c>
      <c r="K61" s="100" t="str">
        <f t="shared" ca="1" si="6"/>
        <v>-</v>
      </c>
      <c r="L61" s="100" t="str">
        <f t="shared" ca="1" si="7"/>
        <v>-</v>
      </c>
      <c r="M61" s="100" t="str">
        <f t="shared" ca="1" si="8"/>
        <v>-</v>
      </c>
      <c r="N61" s="107" t="s">
        <v>156</v>
      </c>
      <c r="O61" s="174">
        <f t="shared" si="9"/>
        <v>2</v>
      </c>
      <c r="P61" s="102">
        <f t="shared" si="10"/>
        <v>2</v>
      </c>
      <c r="Q61" s="103" t="str">
        <f t="shared" si="11"/>
        <v/>
      </c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</row>
    <row r="62" spans="1:105" s="10" customFormat="1" ht="17.25" customHeight="1">
      <c r="A62" s="96" t="s">
        <v>144</v>
      </c>
      <c r="B62" s="97" t="s">
        <v>82</v>
      </c>
      <c r="C62" s="175">
        <v>44052</v>
      </c>
      <c r="D62" s="175">
        <v>44052</v>
      </c>
      <c r="E62" s="175">
        <v>44053</v>
      </c>
      <c r="F62" s="175">
        <v>44053</v>
      </c>
      <c r="G62" s="98" t="s">
        <v>25</v>
      </c>
      <c r="H62" s="106" t="s">
        <v>154</v>
      </c>
      <c r="I62" s="99" t="s">
        <v>155</v>
      </c>
      <c r="J62" s="105" t="s">
        <v>9</v>
      </c>
      <c r="K62" s="100" t="str">
        <f t="shared" ca="1" si="6"/>
        <v>-</v>
      </c>
      <c r="L62" s="100" t="str">
        <f t="shared" ca="1" si="7"/>
        <v>-</v>
      </c>
      <c r="M62" s="100" t="str">
        <f t="shared" ca="1" si="8"/>
        <v>-</v>
      </c>
      <c r="N62" s="107" t="s">
        <v>156</v>
      </c>
      <c r="O62" s="174">
        <f t="shared" si="9"/>
        <v>1</v>
      </c>
      <c r="P62" s="101">
        <f t="shared" si="10"/>
        <v>1</v>
      </c>
      <c r="Q62" s="103">
        <f t="shared" si="11"/>
        <v>1</v>
      </c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</row>
    <row r="63" spans="1:105" s="10" customFormat="1" ht="17.25" customHeight="1">
      <c r="A63" s="96" t="s">
        <v>145</v>
      </c>
      <c r="B63" s="97" t="s">
        <v>82</v>
      </c>
      <c r="C63" s="175">
        <v>44052</v>
      </c>
      <c r="D63" s="175">
        <v>44052</v>
      </c>
      <c r="E63" s="175">
        <v>44053</v>
      </c>
      <c r="F63" s="175">
        <v>44053</v>
      </c>
      <c r="G63" s="98" t="s">
        <v>25</v>
      </c>
      <c r="H63" s="106" t="s">
        <v>154</v>
      </c>
      <c r="I63" s="99" t="s">
        <v>155</v>
      </c>
      <c r="J63" s="99" t="s">
        <v>9</v>
      </c>
      <c r="K63" s="100" t="str">
        <f t="shared" ca="1" si="6"/>
        <v>-</v>
      </c>
      <c r="L63" s="100" t="str">
        <f t="shared" ca="1" si="7"/>
        <v>-</v>
      </c>
      <c r="M63" s="100" t="str">
        <f t="shared" ca="1" si="8"/>
        <v>-</v>
      </c>
      <c r="N63" s="107" t="s">
        <v>156</v>
      </c>
      <c r="O63" s="174">
        <f t="shared" si="9"/>
        <v>1</v>
      </c>
      <c r="P63" s="101">
        <f t="shared" si="10"/>
        <v>1</v>
      </c>
      <c r="Q63" s="103">
        <f t="shared" si="11"/>
        <v>1</v>
      </c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</row>
    <row r="64" spans="1:105" s="10" customFormat="1" ht="17.25" customHeight="1">
      <c r="A64" s="96" t="s">
        <v>146</v>
      </c>
      <c r="B64" s="97" t="s">
        <v>85</v>
      </c>
      <c r="C64" s="175">
        <v>44053</v>
      </c>
      <c r="D64" s="175">
        <v>44083</v>
      </c>
      <c r="E64" s="175">
        <v>44084</v>
      </c>
      <c r="F64" s="175">
        <v>44084</v>
      </c>
      <c r="G64" s="98" t="s">
        <v>25</v>
      </c>
      <c r="H64" s="106" t="s">
        <v>154</v>
      </c>
      <c r="I64" s="99" t="s">
        <v>155</v>
      </c>
      <c r="J64" s="105" t="s">
        <v>9</v>
      </c>
      <c r="K64" s="100" t="str">
        <f t="shared" ca="1" si="6"/>
        <v>-</v>
      </c>
      <c r="L64" s="100" t="str">
        <f t="shared" ca="1" si="7"/>
        <v>-</v>
      </c>
      <c r="M64" s="100" t="str">
        <f t="shared" ca="1" si="8"/>
        <v>-</v>
      </c>
      <c r="N64" s="107" t="s">
        <v>156</v>
      </c>
      <c r="O64" s="174">
        <f t="shared" si="9"/>
        <v>1</v>
      </c>
      <c r="P64" s="102">
        <f t="shared" si="10"/>
        <v>1</v>
      </c>
      <c r="Q64" s="103" t="str">
        <f t="shared" si="11"/>
        <v/>
      </c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</row>
    <row r="65" spans="1:105" s="10" customFormat="1" ht="17.25" customHeight="1">
      <c r="A65" s="96" t="s">
        <v>147</v>
      </c>
      <c r="B65" s="176" t="s">
        <v>82</v>
      </c>
      <c r="C65" s="175">
        <v>44053</v>
      </c>
      <c r="D65" s="175">
        <v>44056</v>
      </c>
      <c r="E65" s="175">
        <v>44056</v>
      </c>
      <c r="F65" s="175">
        <v>44056</v>
      </c>
      <c r="G65" s="106" t="s">
        <v>26</v>
      </c>
      <c r="H65" s="106" t="s">
        <v>154</v>
      </c>
      <c r="I65" s="99" t="s">
        <v>155</v>
      </c>
      <c r="J65" s="105" t="s">
        <v>9</v>
      </c>
      <c r="K65" s="100" t="str">
        <f t="shared" ca="1" si="6"/>
        <v>-</v>
      </c>
      <c r="L65" s="100" t="str">
        <f t="shared" ca="1" si="7"/>
        <v>-</v>
      </c>
      <c r="M65" s="100" t="str">
        <f t="shared" ca="1" si="8"/>
        <v>-</v>
      </c>
      <c r="N65" s="107" t="s">
        <v>156</v>
      </c>
      <c r="O65" s="174">
        <f t="shared" si="9"/>
        <v>0</v>
      </c>
      <c r="P65" s="102">
        <f t="shared" si="10"/>
        <v>0</v>
      </c>
      <c r="Q65" s="103" t="str">
        <f t="shared" si="11"/>
        <v/>
      </c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</row>
    <row r="66" spans="1:105" s="10" customFormat="1" ht="17.25" customHeight="1">
      <c r="A66" s="96" t="s">
        <v>148</v>
      </c>
      <c r="B66" s="97" t="s">
        <v>82</v>
      </c>
      <c r="C66" s="175">
        <v>44053</v>
      </c>
      <c r="D66" s="175">
        <v>44054</v>
      </c>
      <c r="E66" s="175"/>
      <c r="F66" s="175"/>
      <c r="G66" s="98" t="s">
        <v>22</v>
      </c>
      <c r="H66" s="106" t="s">
        <v>154</v>
      </c>
      <c r="I66" s="99" t="s">
        <v>155</v>
      </c>
      <c r="J66" s="105" t="s">
        <v>7</v>
      </c>
      <c r="K66" s="100">
        <f t="shared" ca="1" si="6"/>
        <v>83</v>
      </c>
      <c r="L66" s="100">
        <f t="shared" ca="1" si="7"/>
        <v>82</v>
      </c>
      <c r="M66" s="100" t="str">
        <f t="shared" ca="1" si="8"/>
        <v/>
      </c>
      <c r="N66" s="107" t="s">
        <v>156</v>
      </c>
      <c r="O66" s="174">
        <f t="shared" ca="1" si="9"/>
        <v>82</v>
      </c>
      <c r="P66" s="102">
        <f t="shared" ca="1" si="10"/>
        <v>82</v>
      </c>
      <c r="Q66" s="103" t="str">
        <f t="shared" si="11"/>
        <v/>
      </c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</row>
    <row r="67" spans="1:105" s="10" customFormat="1" ht="17.25" customHeight="1">
      <c r="A67" s="96" t="s">
        <v>149</v>
      </c>
      <c r="B67" s="176" t="s">
        <v>82</v>
      </c>
      <c r="C67" s="175">
        <v>44053</v>
      </c>
      <c r="D67" s="175">
        <v>44054</v>
      </c>
      <c r="E67" s="175">
        <v>44054</v>
      </c>
      <c r="F67" s="175"/>
      <c r="G67" s="98" t="s">
        <v>25</v>
      </c>
      <c r="H67" s="106" t="s">
        <v>154</v>
      </c>
      <c r="I67" s="99" t="s">
        <v>155</v>
      </c>
      <c r="J67" s="104" t="s">
        <v>10</v>
      </c>
      <c r="K67" s="100">
        <f t="shared" ca="1" si="6"/>
        <v>83</v>
      </c>
      <c r="L67" s="100">
        <f t="shared" ca="1" si="7"/>
        <v>82</v>
      </c>
      <c r="M67" s="100" t="str">
        <f t="shared" ca="1" si="8"/>
        <v/>
      </c>
      <c r="N67" s="107" t="s">
        <v>156</v>
      </c>
      <c r="O67" s="174">
        <f t="shared" si="9"/>
        <v>0</v>
      </c>
      <c r="P67" s="101">
        <f t="shared" ca="1" si="10"/>
        <v>82</v>
      </c>
      <c r="Q67" s="103" t="str">
        <f t="shared" si="11"/>
        <v/>
      </c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</row>
    <row r="68" spans="1:105" s="10" customFormat="1" ht="17.25" customHeight="1">
      <c r="A68" s="96" t="s">
        <v>150</v>
      </c>
      <c r="B68" s="97" t="s">
        <v>82</v>
      </c>
      <c r="C68" s="175">
        <v>44053</v>
      </c>
      <c r="D68" s="175">
        <v>44054</v>
      </c>
      <c r="E68" s="175">
        <v>44054</v>
      </c>
      <c r="F68" s="175"/>
      <c r="G68" s="106" t="s">
        <v>26</v>
      </c>
      <c r="H68" s="106" t="s">
        <v>154</v>
      </c>
      <c r="I68" s="99" t="s">
        <v>155</v>
      </c>
      <c r="J68" s="105" t="s">
        <v>10</v>
      </c>
      <c r="K68" s="100">
        <f t="shared" ca="1" si="6"/>
        <v>83</v>
      </c>
      <c r="L68" s="100">
        <f t="shared" ca="1" si="7"/>
        <v>82</v>
      </c>
      <c r="M68" s="100" t="str">
        <f t="shared" ca="1" si="8"/>
        <v/>
      </c>
      <c r="N68" s="107" t="s">
        <v>156</v>
      </c>
      <c r="O68" s="174">
        <f t="shared" si="9"/>
        <v>0</v>
      </c>
      <c r="P68" s="101">
        <f t="shared" ca="1" si="10"/>
        <v>82</v>
      </c>
      <c r="Q68" s="103" t="str">
        <f t="shared" si="11"/>
        <v/>
      </c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</row>
    <row r="69" spans="1:105" s="10" customFormat="1" ht="17.25" customHeight="1">
      <c r="A69" s="96" t="s">
        <v>151</v>
      </c>
      <c r="B69" s="176" t="s">
        <v>82</v>
      </c>
      <c r="C69" s="175">
        <v>44054</v>
      </c>
      <c r="D69" s="175">
        <v>44058</v>
      </c>
      <c r="E69" s="175">
        <v>44060</v>
      </c>
      <c r="F69" s="175">
        <v>44060</v>
      </c>
      <c r="G69" s="106" t="s">
        <v>26</v>
      </c>
      <c r="H69" s="106" t="s">
        <v>154</v>
      </c>
      <c r="I69" s="99" t="s">
        <v>155</v>
      </c>
      <c r="J69" s="105" t="s">
        <v>9</v>
      </c>
      <c r="K69" s="100" t="str">
        <f t="shared" ca="1" si="6"/>
        <v>-</v>
      </c>
      <c r="L69" s="100" t="str">
        <f t="shared" ca="1" si="7"/>
        <v>-</v>
      </c>
      <c r="M69" s="100" t="str">
        <f t="shared" ca="1" si="8"/>
        <v>-</v>
      </c>
      <c r="N69" s="107" t="s">
        <v>156</v>
      </c>
      <c r="O69" s="174">
        <f t="shared" si="9"/>
        <v>2</v>
      </c>
      <c r="P69" s="101">
        <f t="shared" si="10"/>
        <v>2</v>
      </c>
      <c r="Q69" s="103">
        <f t="shared" si="11"/>
        <v>7</v>
      </c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</row>
    <row r="70" spans="1:105" s="10" customFormat="1" ht="17.25" customHeight="1">
      <c r="A70" s="96" t="s">
        <v>152</v>
      </c>
      <c r="B70" s="97" t="s">
        <v>85</v>
      </c>
      <c r="C70" s="175">
        <v>44131</v>
      </c>
      <c r="D70" s="175">
        <v>44131</v>
      </c>
      <c r="E70" s="175"/>
      <c r="F70" s="175"/>
      <c r="G70" s="98" t="s">
        <v>25</v>
      </c>
      <c r="H70" s="106" t="s">
        <v>154</v>
      </c>
      <c r="I70" s="99" t="s">
        <v>155</v>
      </c>
      <c r="J70" s="99" t="s">
        <v>7</v>
      </c>
      <c r="K70" s="100">
        <f t="shared" ca="1" si="6"/>
        <v>5</v>
      </c>
      <c r="L70" s="100">
        <f t="shared" ca="1" si="7"/>
        <v>5</v>
      </c>
      <c r="M70" s="100" t="str">
        <f t="shared" ca="1" si="8"/>
        <v/>
      </c>
      <c r="N70" s="107" t="s">
        <v>156</v>
      </c>
      <c r="O70" s="174">
        <f t="shared" ca="1" si="9"/>
        <v>5</v>
      </c>
      <c r="P70" s="101">
        <f t="shared" ca="1" si="10"/>
        <v>5</v>
      </c>
      <c r="Q70" s="103" t="str">
        <f t="shared" si="11"/>
        <v/>
      </c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</row>
    <row r="71" spans="1:105" s="10" customFormat="1" ht="17.25" customHeight="1">
      <c r="A71" s="96" t="s">
        <v>153</v>
      </c>
      <c r="B71" s="97" t="s">
        <v>86</v>
      </c>
      <c r="C71" s="175">
        <v>44131</v>
      </c>
      <c r="D71" s="175">
        <v>44131</v>
      </c>
      <c r="E71" s="193">
        <v>44174</v>
      </c>
      <c r="F71" s="193"/>
      <c r="G71" s="98" t="s">
        <v>25</v>
      </c>
      <c r="H71" s="106" t="s">
        <v>154</v>
      </c>
      <c r="I71" s="99" t="s">
        <v>155</v>
      </c>
      <c r="J71" s="99" t="s">
        <v>10</v>
      </c>
      <c r="K71" s="100">
        <f t="shared" ca="1" si="6"/>
        <v>5</v>
      </c>
      <c r="L71" s="100">
        <f t="shared" ca="1" si="7"/>
        <v>5</v>
      </c>
      <c r="M71" s="100" t="str">
        <f t="shared" ca="1" si="8"/>
        <v/>
      </c>
      <c r="N71" s="107" t="s">
        <v>156</v>
      </c>
      <c r="O71" s="174">
        <f t="shared" si="9"/>
        <v>43</v>
      </c>
      <c r="P71" s="101">
        <f t="shared" ca="1" si="10"/>
        <v>5</v>
      </c>
      <c r="Q71" s="103" t="str">
        <f t="shared" si="11"/>
        <v/>
      </c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</row>
  </sheetData>
  <sheetProtection formatCells="0" formatColumns="0" formatRows="0" insertColumns="0" insertRows="0" insertHyperlinks="0" deleteColumns="0" deleteRows="0" sort="0" autoFilter="0" pivotTables="0"/>
  <dataConsolidate/>
  <mergeCells count="1">
    <mergeCell ref="A2:Q2"/>
  </mergeCells>
  <phoneticPr fontId="8" type="noConversion"/>
  <conditionalFormatting sqref="G41:Q50 G54:Q70 A54:B71 A41:B50 A6:Q38 A40:Q40 A39:B39 F39:Q39 A51:Q53 E71:Q71">
    <cfRule type="expression" dxfId="20" priority="241">
      <formula>MOD(ROW(),2)=0</formula>
    </cfRule>
  </conditionalFormatting>
  <conditionalFormatting sqref="J3 J5:J1048576">
    <cfRule type="expression" dxfId="19" priority="232">
      <formula>OR((AND($E3&lt;&gt;"",$J3="SR")),(AND($F3&lt;&gt;"",OR($J3="PD",$J3="SR"))))</formula>
    </cfRule>
  </conditionalFormatting>
  <conditionalFormatting sqref="E3 E51:E53 E71:E1048576 E5:E38 E40">
    <cfRule type="expression" dxfId="18" priority="229">
      <formula>AND(E3="",OR(J3="PD",J3="RS",J3="OK"))</formula>
    </cfRule>
  </conditionalFormatting>
  <conditionalFormatting sqref="F3 F5:F40 F51:F53 F71:F1048576">
    <cfRule type="expression" dxfId="17" priority="228">
      <formula>AND(F3="",OR(J3="RS",J3="OK"))</formula>
    </cfRule>
  </conditionalFormatting>
  <conditionalFormatting sqref="A3 A5:A1048576">
    <cfRule type="duplicateValues" dxfId="16" priority="249"/>
  </conditionalFormatting>
  <conditionalFormatting sqref="J4">
    <cfRule type="expression" dxfId="15" priority="16">
      <formula>OR((AND($E4&lt;&gt;"",$J4="SR")),(AND($F4&lt;&gt;"",OR($J4="PD",$J4="SR"))))</formula>
    </cfRule>
  </conditionalFormatting>
  <conditionalFormatting sqref="E4">
    <cfRule type="expression" dxfId="14" priority="15">
      <formula>AND(E4="",OR(J4="PD",J4="RS",J4="OK"))</formula>
    </cfRule>
  </conditionalFormatting>
  <conditionalFormatting sqref="F4">
    <cfRule type="expression" dxfId="13" priority="14">
      <formula>AND(F4="",OR(J4="RS",J4="OK"))</formula>
    </cfRule>
  </conditionalFormatting>
  <conditionalFormatting sqref="A4">
    <cfRule type="duplicateValues" dxfId="12" priority="17"/>
  </conditionalFormatting>
  <conditionalFormatting sqref="F25">
    <cfRule type="expression" dxfId="11" priority="11">
      <formula>AND(F25="",OR(K25="PD",K25="RS",K25="OK"))</formula>
    </cfRule>
  </conditionalFormatting>
  <conditionalFormatting sqref="C41:F50">
    <cfRule type="expression" dxfId="10" priority="10">
      <formula>MOD(ROW(),2)=0</formula>
    </cfRule>
  </conditionalFormatting>
  <conditionalFormatting sqref="E41:E50">
    <cfRule type="expression" dxfId="9" priority="9">
      <formula>AND(E41="",OR(J41="PD",J41="RS",J41="OK"))</formula>
    </cfRule>
  </conditionalFormatting>
  <conditionalFormatting sqref="F41:F50">
    <cfRule type="expression" dxfId="8" priority="8">
      <formula>AND(F41="",OR(J41="RS",J41="OK"))</formula>
    </cfRule>
  </conditionalFormatting>
  <conditionalFormatting sqref="C54:F70">
    <cfRule type="expression" dxfId="7" priority="7">
      <formula>MOD(ROW(),2)=0</formula>
    </cfRule>
  </conditionalFormatting>
  <conditionalFormatting sqref="E54:E70">
    <cfRule type="expression" dxfId="6" priority="6">
      <formula>AND(E54="",OR(J54="PD",J54="RS",J54="OK"))</formula>
    </cfRule>
  </conditionalFormatting>
  <conditionalFormatting sqref="F54:F70">
    <cfRule type="expression" dxfId="5" priority="5">
      <formula>AND(F54="",OR(J54="RS",J54="OK"))</formula>
    </cfRule>
  </conditionalFormatting>
  <conditionalFormatting sqref="C39:E39">
    <cfRule type="expression" dxfId="4" priority="4">
      <formula>MOD(ROW(),2)=0</formula>
    </cfRule>
  </conditionalFormatting>
  <conditionalFormatting sqref="E39">
    <cfRule type="expression" dxfId="3" priority="3">
      <formula>AND(E39="",OR(J39="PD",J39="RS",J39="OK"))</formula>
    </cfRule>
  </conditionalFormatting>
  <conditionalFormatting sqref="C71">
    <cfRule type="expression" dxfId="2" priority="2">
      <formula>MOD(ROW(),2)=0</formula>
    </cfRule>
  </conditionalFormatting>
  <conditionalFormatting sqref="D71">
    <cfRule type="expression" dxfId="1" priority="1">
      <formula>MOD(ROW(),2)=0</formula>
    </cfRule>
  </conditionalFormatting>
  <dataValidations count="1">
    <dataValidation type="date" operator="greaterThan" showInputMessage="1" showErrorMessage="1" sqref="C3:F3 C6:F1048576" xr:uid="{00000000-0002-0000-0200-000000000000}">
      <formula1>36526</formula1>
    </dataValidation>
  </dataValidations>
  <hyperlinks>
    <hyperlink ref="A6" r:id="rId1" tooltip="Ticket 12376" xr:uid="{A8EC7E35-E128-4E66-92A6-1E8D9F4AB454}"/>
    <hyperlink ref="A7" r:id="rId2" tooltip="Ticket 12377" xr:uid="{D1845EAF-9D27-4BD7-8431-1C3A9A7742D7}"/>
    <hyperlink ref="A8" r:id="rId3" tooltip="Ticket 12378" xr:uid="{BE488DA5-27B1-4E99-A366-53129FE60D93}"/>
    <hyperlink ref="A9" r:id="rId4" tooltip="Ticket 12379" xr:uid="{5A8E3F41-49B6-40C1-8CF1-8AD00AE58A41}"/>
    <hyperlink ref="A10" r:id="rId5" tooltip="Ticket 12380" xr:uid="{C541F199-5532-4221-BCA0-9B5F02C56B09}"/>
    <hyperlink ref="A11" r:id="rId6" tooltip="Ticket 12381" xr:uid="{DE254329-98F1-4440-A547-8442CDCDAE81}"/>
    <hyperlink ref="A12" r:id="rId7" tooltip="Ticket 12382" xr:uid="{FC77ECC5-7E2B-4CF0-82A7-F6A95C13D999}"/>
    <hyperlink ref="A13" r:id="rId8" tooltip="Ticket 12383" xr:uid="{2C801CCE-66AF-4B97-B6FC-539BE7A2074A}"/>
    <hyperlink ref="A14" r:id="rId9" tooltip="Ticket 12384" xr:uid="{3C394636-F104-4D34-9AF8-D9846C0F0279}"/>
    <hyperlink ref="A15" r:id="rId10" tooltip="Ticket 12385" xr:uid="{CC6AED98-1815-442A-977D-7A5469A2692D}"/>
    <hyperlink ref="A16" r:id="rId11" tooltip="Ticket 12386" xr:uid="{786D0564-92A2-4DAB-A768-431D90E6BF91}"/>
    <hyperlink ref="A17" r:id="rId12" tooltip="Ticket 12387" xr:uid="{1306467B-456D-4808-9C9F-1304A87662B7}"/>
    <hyperlink ref="A18" r:id="rId13" tooltip="Ticket 12388" xr:uid="{29628075-68EE-4309-AD50-7AF607511112}"/>
    <hyperlink ref="A19" r:id="rId14" tooltip="Ticket 12389" xr:uid="{C91DD187-AE4A-4298-A36D-9C56A46712E6}"/>
    <hyperlink ref="A20" r:id="rId15" tooltip="Ticket 12390" xr:uid="{7E34C5F2-5E70-4093-A9FE-3BD838AD1F30}"/>
    <hyperlink ref="A21" r:id="rId16" tooltip="Ticket 12391" xr:uid="{992F8580-0996-4111-BD5B-34F2CA6988AD}"/>
    <hyperlink ref="A22" r:id="rId17" tooltip="Ticket 12392" xr:uid="{9FCD2265-337F-438B-977B-CEE21102AFF7}"/>
    <hyperlink ref="A23" r:id="rId18" tooltip="Ticket 12393" xr:uid="{D3BE3E6F-0403-43EE-809B-1C14C667B143}"/>
    <hyperlink ref="A24" r:id="rId19" tooltip="Ticket 12394" xr:uid="{D50DD32E-F486-4A78-8F74-8D9626F283C1}"/>
    <hyperlink ref="A25" r:id="rId20" tooltip="Ticket 12395" xr:uid="{71961287-BED2-46CC-84B3-8395D89FBF20}"/>
    <hyperlink ref="A26" r:id="rId21" tooltip="Ticket 12396" xr:uid="{5E323E8B-2C8D-4931-A1B8-9A52F7431F48}"/>
    <hyperlink ref="A27" r:id="rId22" tooltip="Ticket 12397" xr:uid="{D6AE847F-AC9F-4744-B947-7CDCC76EA4FC}"/>
    <hyperlink ref="A28" r:id="rId23" tooltip="Ticket 12398" xr:uid="{9D70047E-0CF6-452C-BC75-1889F9EBE927}"/>
    <hyperlink ref="A29" r:id="rId24" tooltip="Ticket 12399" xr:uid="{09767F66-AFEC-4F40-B9B7-254D2C1F315D}"/>
    <hyperlink ref="A30" r:id="rId25" tooltip="Ticket 12400" xr:uid="{1ADA0563-9030-4722-ACCA-CDCC58692EF7}"/>
    <hyperlink ref="A31" r:id="rId26" tooltip="Ticket 12401" xr:uid="{8058F4A4-2A93-401F-9CF0-93951FBEAFE8}"/>
    <hyperlink ref="A32" r:id="rId27" tooltip="Ticket 12402" xr:uid="{F161F587-9C19-45CD-92AA-CE4AA02CDEEF}"/>
    <hyperlink ref="A33" r:id="rId28" tooltip="Ticket 12403" xr:uid="{85654230-8171-442B-8DE2-DAE58308ED73}"/>
    <hyperlink ref="A34" r:id="rId29" tooltip="Ticket 12404" xr:uid="{98E2DEDE-720E-4287-A71A-CDB398178F08}"/>
    <hyperlink ref="A35" r:id="rId30" tooltip="Ticket 12405" xr:uid="{FF26F745-3214-44C5-B749-82AD42EE8A9E}"/>
    <hyperlink ref="A36" r:id="rId31" tooltip="Ticket 12406" xr:uid="{2455B05E-46C0-4E50-85FC-48F9CCA30091}"/>
    <hyperlink ref="A37" r:id="rId32" tooltip="Ticket 12407" xr:uid="{74C1BA8C-F7FE-4EDF-A36C-DEB6CAA601BC}"/>
    <hyperlink ref="A38" r:id="rId33" tooltip="Ticket 12408" xr:uid="{3ACA9B1A-7D76-4464-AF28-B025FCC7EB64}"/>
    <hyperlink ref="A39" r:id="rId34" tooltip="Ticket 12409" xr:uid="{9C23AE67-FF29-41E6-BA5F-D9667641DDDC}"/>
    <hyperlink ref="A40" r:id="rId35" tooltip="Ticket 12410" xr:uid="{93415E2A-9572-4EB1-A502-8030892E5ADB}"/>
    <hyperlink ref="A41" r:id="rId36" tooltip="Ticket 12411" xr:uid="{FD255DB1-3BCF-4317-9240-FC9E6181E433}"/>
    <hyperlink ref="A42" r:id="rId37" tooltip="Ticket 12412" xr:uid="{189BDD1D-702A-4BA1-BCB2-0D6ED717BD41}"/>
    <hyperlink ref="A43" r:id="rId38" tooltip="Ticket 12413" xr:uid="{AF3C2337-E8DE-4DCB-BFC6-CDF4F83397C2}"/>
    <hyperlink ref="A44" r:id="rId39" tooltip="Ticket 12414" xr:uid="{D7384282-4624-465F-B248-B4767D7F4F30}"/>
    <hyperlink ref="A45" r:id="rId40" tooltip="Ticket 12415" xr:uid="{B079369C-FE7C-41CE-8399-DE4CCC1DA0A1}"/>
    <hyperlink ref="A46" r:id="rId41" tooltip="Ticket 12416" xr:uid="{09D01A3F-43CC-4BE5-A74D-FA168D81CACC}"/>
    <hyperlink ref="A47" r:id="rId42" tooltip="Ticket 12417" xr:uid="{2B38FBD2-D2B7-42AB-B899-E56E219AAB02}"/>
    <hyperlink ref="A48" r:id="rId43" tooltip="Ticket 12418" xr:uid="{A6440A8D-20BF-46FA-B245-DBD58D68FA07}"/>
    <hyperlink ref="A49" r:id="rId44" tooltip="Ticket 12419" xr:uid="{3FA61D32-F98E-444A-95A5-748DC838103E}"/>
    <hyperlink ref="A50" r:id="rId45" tooltip="Ticket 12420" xr:uid="{C4AC299F-532D-47D0-82C8-E7A807EA7AF0}"/>
    <hyperlink ref="A51" r:id="rId46" tooltip="Ticket 12421" xr:uid="{E6ED7C1E-4A0F-4843-81AB-4F377E18E832}"/>
    <hyperlink ref="A52" r:id="rId47" tooltip="Ticket 12422" xr:uid="{1207DC0B-0483-4C1C-B191-6044DC87146F}"/>
    <hyperlink ref="A53" r:id="rId48" tooltip="Ticket 12423" xr:uid="{1E2C937B-1122-47EE-BB84-DAD8CEDFEC18}"/>
    <hyperlink ref="A54" r:id="rId49" tooltip="Ticket 12424" xr:uid="{7E22AE53-C267-40FE-9DB5-5040354D2D23}"/>
    <hyperlink ref="A55" r:id="rId50" tooltip="Ticket 12425" xr:uid="{0FE54247-9204-4BBC-8587-DF4AC35EA637}"/>
    <hyperlink ref="A56" r:id="rId51" tooltip="Ticket 12426" xr:uid="{F1301471-1B30-46D3-AD0A-49F93F6D78F3}"/>
    <hyperlink ref="A57" r:id="rId52" tooltip="Ticket 12427" xr:uid="{D6781529-BE6F-4794-8005-F52EFC076189}"/>
    <hyperlink ref="A58" r:id="rId53" tooltip="Ticket 12428" xr:uid="{B2944B51-E644-43CF-B74D-7D8938780660}"/>
    <hyperlink ref="A59" r:id="rId54" tooltip="Ticket 12429" xr:uid="{1B6FB4EA-887C-4A67-AA6A-5748D859CACA}"/>
    <hyperlink ref="A60" r:id="rId55" tooltip="Ticket 12430" xr:uid="{0FA59173-9A3C-4292-B0B9-CDA3C212D16C}"/>
    <hyperlink ref="A61" r:id="rId56" tooltip="Ticket 12431" xr:uid="{60AFB0E7-B765-4984-96CF-DFE8925CEA60}"/>
    <hyperlink ref="A62" r:id="rId57" tooltip="Ticket 12432" xr:uid="{1E1AB9B9-4EF8-4A74-AFC9-FBB6BDD95421}"/>
    <hyperlink ref="A63" r:id="rId58" tooltip="Ticket 12433" xr:uid="{8D926FB5-70EF-455F-B30D-4AB3FC916018}"/>
    <hyperlink ref="A64" r:id="rId59" tooltip="Ticket 12434" xr:uid="{873D10D5-8F68-45BF-9DAC-2CC4BAF20D7D}"/>
    <hyperlink ref="A65" r:id="rId60" tooltip="Ticket 12435" xr:uid="{CF5BDF27-5B26-479C-8C45-1CA0D4C3BC4D}"/>
    <hyperlink ref="A66" r:id="rId61" tooltip="Ticket 12436" xr:uid="{3B27B796-AA66-4966-8E9E-75247F509D5F}"/>
    <hyperlink ref="A67" r:id="rId62" tooltip="Ticket 12437" xr:uid="{AC9F38EE-F274-4FBD-AF4A-4998C424FEBC}"/>
    <hyperlink ref="A68" r:id="rId63" tooltip="Ticket 12438" xr:uid="{D8141267-BDF2-47E2-A41A-D750505D43E4}"/>
    <hyperlink ref="A69" r:id="rId64" tooltip="Ticket 12439" xr:uid="{4B402230-D06C-4272-B70D-9E114E765428}"/>
    <hyperlink ref="A70" r:id="rId65" tooltip="Ticket 12440" xr:uid="{4B39D507-F44B-4F50-884B-2A2D977500B7}"/>
    <hyperlink ref="A71" r:id="rId66" tooltip="Ticket 12441" xr:uid="{D521BC0F-C2AD-4B82-9612-20180DFDEAC0}"/>
  </hyperlinks>
  <pageMargins left="0.78740157480314965" right="0.78740157480314965" top="0.98425196850393704" bottom="0.98425196850393704" header="0.51181102362204722" footer="0.51181102362204722"/>
  <pageSetup paperSize="9" fitToHeight="0" orientation="landscape" r:id="rId67"/>
  <headerFooter alignWithMargins="0"/>
  <ignoredErrors>
    <ignoredError sqref="A6:A71" numberStoredAsText="1"/>
  </ignoredErrors>
  <drawing r:id="rId68"/>
  <tableParts count="1">
    <tablePart r:id="rId6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4000000}">
          <x14:formula1>
            <xm:f>Validações!$B$2:$B$5</xm:f>
          </x14:formula1>
          <xm:sqref>J6:J1048576</xm:sqref>
        </x14:dataValidation>
        <x14:dataValidation type="list" allowBlank="1" showInputMessage="1" showErrorMessage="1" xr:uid="{00000000-0002-0000-0200-000002000000}">
          <x14:formula1>
            <xm:f>Validações!$A$2:$A$17</xm:f>
          </x14:formula1>
          <xm:sqref>B6:B1048576</xm:sqref>
        </x14:dataValidation>
        <x14:dataValidation type="list" allowBlank="1" showInputMessage="1" showErrorMessage="1" xr:uid="{00000000-0002-0000-0200-000003000000}">
          <x14:formula1>
            <xm:f>Validações!$C$2:$C$7</xm:f>
          </x14:formula1>
          <xm:sqref>G6:G1048576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7"/>
  <dimension ref="A1:AFY45"/>
  <sheetViews>
    <sheetView workbookViewId="0">
      <pane xSplit="1" topLeftCell="B1" activePane="topRight" state="frozen"/>
      <selection activeCell="B6" sqref="B6"/>
      <selection pane="topRight" activeCell="B38" activeCellId="1" sqref="B25:V25 B38:AM38"/>
    </sheetView>
  </sheetViews>
  <sheetFormatPr defaultColWidth="9.109375" defaultRowHeight="13.2"/>
  <cols>
    <col min="1" max="2" width="9.109375" style="1"/>
    <col min="3" max="3" width="11" style="1" customWidth="1"/>
    <col min="4" max="16384" width="9.109375" style="1"/>
  </cols>
  <sheetData>
    <row r="1" spans="1:22" ht="3.75" customHeight="1"/>
    <row r="2" spans="1:22" ht="36">
      <c r="A2" s="110" t="s">
        <v>59</v>
      </c>
      <c r="B2" s="111" t="s">
        <v>61</v>
      </c>
      <c r="C2" s="112" t="s">
        <v>62</v>
      </c>
    </row>
    <row r="3" spans="1:22" ht="14.4">
      <c r="A3" s="113" t="s">
        <v>80</v>
      </c>
      <c r="B3" s="114">
        <f t="shared" ref="B3:B11" si="0">SUM(A16:AA16)</f>
        <v>5.5</v>
      </c>
      <c r="C3" s="115">
        <f t="shared" ref="C3:C11" si="1">SUM(A29:AA29)</f>
        <v>3</v>
      </c>
    </row>
    <row r="4" spans="1:22" ht="14.4">
      <c r="A4" s="116" t="s">
        <v>81</v>
      </c>
      <c r="B4" s="117">
        <f t="shared" si="0"/>
        <v>3.5</v>
      </c>
      <c r="C4" s="118">
        <f t="shared" si="1"/>
        <v>7</v>
      </c>
    </row>
    <row r="5" spans="1:22" ht="14.4">
      <c r="A5" s="113" t="s">
        <v>82</v>
      </c>
      <c r="B5" s="114">
        <f t="shared" si="0"/>
        <v>1</v>
      </c>
      <c r="C5" s="115">
        <f t="shared" si="1"/>
        <v>1.5</v>
      </c>
    </row>
    <row r="6" spans="1:22" ht="14.4">
      <c r="A6" s="116" t="s">
        <v>83</v>
      </c>
      <c r="B6" s="117">
        <f t="shared" si="0"/>
        <v>3</v>
      </c>
      <c r="C6" s="118">
        <f t="shared" si="1"/>
        <v>0</v>
      </c>
    </row>
    <row r="7" spans="1:22" ht="14.4">
      <c r="A7" s="113" t="s">
        <v>84</v>
      </c>
      <c r="B7" s="114">
        <f t="shared" si="0"/>
        <v>0</v>
      </c>
      <c r="C7" s="115">
        <f t="shared" si="1"/>
        <v>2.5</v>
      </c>
    </row>
    <row r="8" spans="1:22" ht="14.4">
      <c r="A8" s="116" t="s">
        <v>85</v>
      </c>
      <c r="B8" s="117">
        <f t="shared" si="0"/>
        <v>4</v>
      </c>
      <c r="C8" s="118">
        <f t="shared" si="1"/>
        <v>3.5</v>
      </c>
    </row>
    <row r="9" spans="1:22" ht="14.4" hidden="1">
      <c r="A9" s="113" t="s">
        <v>13</v>
      </c>
      <c r="B9" s="114">
        <f t="shared" si="0"/>
        <v>2.5</v>
      </c>
      <c r="C9" s="115">
        <f t="shared" si="1"/>
        <v>0</v>
      </c>
    </row>
    <row r="10" spans="1:22" ht="14.4">
      <c r="A10" s="116" t="s">
        <v>86</v>
      </c>
      <c r="B10" s="117">
        <f t="shared" si="0"/>
        <v>3.5</v>
      </c>
      <c r="C10" s="118">
        <f t="shared" si="1"/>
        <v>0.5</v>
      </c>
    </row>
    <row r="11" spans="1:22" ht="14.4">
      <c r="A11" s="119" t="s">
        <v>87</v>
      </c>
      <c r="B11" s="120">
        <f t="shared" si="0"/>
        <v>4.5</v>
      </c>
      <c r="C11" s="121">
        <f t="shared" si="1"/>
        <v>0</v>
      </c>
    </row>
    <row r="13" spans="1:22" s="122" customFormat="1">
      <c r="A13" s="122" t="s">
        <v>61</v>
      </c>
    </row>
    <row r="15" spans="1:22">
      <c r="A15" s="109" t="s">
        <v>59</v>
      </c>
      <c r="B15" s="123">
        <v>42019</v>
      </c>
      <c r="C15" s="124">
        <v>42034</v>
      </c>
      <c r="D15" s="124">
        <v>42053</v>
      </c>
      <c r="E15" s="124">
        <v>42065</v>
      </c>
      <c r="F15" s="124">
        <v>42079</v>
      </c>
      <c r="G15" s="125">
        <v>42093</v>
      </c>
      <c r="H15" s="126">
        <v>42109</v>
      </c>
      <c r="I15" s="125">
        <v>42124</v>
      </c>
      <c r="J15" s="124">
        <v>42139</v>
      </c>
      <c r="K15" s="125">
        <v>42153</v>
      </c>
      <c r="L15" s="123">
        <v>42170</v>
      </c>
      <c r="M15" s="123">
        <v>42186</v>
      </c>
      <c r="N15" s="123">
        <v>42200</v>
      </c>
      <c r="O15" s="123">
        <v>42215</v>
      </c>
      <c r="P15" s="123">
        <v>42199</v>
      </c>
      <c r="Q15" s="123">
        <v>42247</v>
      </c>
      <c r="R15" s="123">
        <v>42262</v>
      </c>
      <c r="S15" s="123">
        <v>42277</v>
      </c>
      <c r="T15" s="123">
        <v>42292</v>
      </c>
      <c r="U15" s="123">
        <v>42307</v>
      </c>
      <c r="V15" s="123">
        <v>42323</v>
      </c>
    </row>
    <row r="16" spans="1:22" ht="14.4">
      <c r="A16" s="127" t="str">
        <f>A3</f>
        <v>EX1</v>
      </c>
      <c r="B16" s="158">
        <v>1</v>
      </c>
      <c r="C16" s="163">
        <v>0</v>
      </c>
      <c r="D16" s="158">
        <v>1</v>
      </c>
      <c r="E16" s="163">
        <v>0</v>
      </c>
      <c r="F16" s="158">
        <v>1</v>
      </c>
      <c r="G16" s="159">
        <v>0.5</v>
      </c>
      <c r="H16" s="163">
        <v>0</v>
      </c>
      <c r="I16" s="163">
        <v>0</v>
      </c>
      <c r="J16" s="163">
        <v>0</v>
      </c>
      <c r="K16" s="163">
        <v>0</v>
      </c>
      <c r="L16" s="163">
        <v>0</v>
      </c>
      <c r="M16" s="163">
        <v>0</v>
      </c>
      <c r="N16" s="163">
        <v>0</v>
      </c>
      <c r="O16" s="163">
        <v>0</v>
      </c>
      <c r="P16" s="158">
        <v>1</v>
      </c>
      <c r="Q16" s="163">
        <v>0</v>
      </c>
      <c r="R16" s="163">
        <v>0</v>
      </c>
      <c r="S16" s="163">
        <v>0</v>
      </c>
      <c r="T16" s="158">
        <v>1</v>
      </c>
      <c r="U16" s="163">
        <v>0</v>
      </c>
      <c r="V16" s="163">
        <v>0</v>
      </c>
    </row>
    <row r="17" spans="1:857" ht="14.4">
      <c r="A17" s="127" t="str">
        <f t="shared" ref="A17:A24" si="2">A4</f>
        <v>EX2</v>
      </c>
      <c r="B17" s="163">
        <v>0</v>
      </c>
      <c r="C17" s="163">
        <v>0</v>
      </c>
      <c r="D17" s="159">
        <v>0.5</v>
      </c>
      <c r="E17" s="163">
        <v>0</v>
      </c>
      <c r="F17" s="163">
        <v>0</v>
      </c>
      <c r="G17" s="158">
        <v>1</v>
      </c>
      <c r="H17" s="163">
        <v>0</v>
      </c>
      <c r="I17" s="163">
        <v>0</v>
      </c>
      <c r="J17" s="163">
        <v>0</v>
      </c>
      <c r="K17" s="163">
        <v>0</v>
      </c>
      <c r="L17" s="163">
        <v>0</v>
      </c>
      <c r="M17" s="163">
        <v>0</v>
      </c>
      <c r="N17" s="163">
        <v>0</v>
      </c>
      <c r="O17" s="163">
        <v>0</v>
      </c>
      <c r="P17" s="163">
        <v>0</v>
      </c>
      <c r="Q17" s="163">
        <v>0</v>
      </c>
      <c r="R17" s="163">
        <v>0</v>
      </c>
      <c r="S17" s="163">
        <v>0</v>
      </c>
      <c r="T17" s="158">
        <v>1</v>
      </c>
      <c r="U17" s="158">
        <v>1</v>
      </c>
      <c r="V17" s="163">
        <v>0</v>
      </c>
    </row>
    <row r="18" spans="1:857" ht="14.4">
      <c r="A18" s="127" t="str">
        <f t="shared" si="2"/>
        <v>EX3</v>
      </c>
      <c r="B18" s="163">
        <v>0</v>
      </c>
      <c r="C18" s="163">
        <v>0</v>
      </c>
      <c r="D18" s="163">
        <v>0</v>
      </c>
      <c r="E18" s="163">
        <v>0</v>
      </c>
      <c r="F18" s="163">
        <v>0</v>
      </c>
      <c r="G18" s="163">
        <v>0</v>
      </c>
      <c r="H18" s="163">
        <v>0</v>
      </c>
      <c r="I18" s="163">
        <v>0</v>
      </c>
      <c r="J18" s="163">
        <v>0</v>
      </c>
      <c r="K18" s="163">
        <v>0</v>
      </c>
      <c r="L18" s="163">
        <v>0</v>
      </c>
      <c r="M18" s="163">
        <v>0</v>
      </c>
      <c r="N18" s="163">
        <v>0</v>
      </c>
      <c r="O18" s="163">
        <v>0</v>
      </c>
      <c r="P18" s="163">
        <v>0</v>
      </c>
      <c r="Q18" s="163">
        <v>0</v>
      </c>
      <c r="R18" s="163">
        <v>0</v>
      </c>
      <c r="S18" s="163">
        <v>0</v>
      </c>
      <c r="T18" s="163">
        <v>0</v>
      </c>
      <c r="U18" s="158">
        <v>1</v>
      </c>
      <c r="V18" s="163">
        <v>0</v>
      </c>
    </row>
    <row r="19" spans="1:857" ht="14.4">
      <c r="A19" s="127" t="str">
        <f t="shared" si="2"/>
        <v>EX4</v>
      </c>
      <c r="B19" s="163">
        <v>0</v>
      </c>
      <c r="C19" s="163">
        <v>0</v>
      </c>
      <c r="D19" s="163">
        <v>0</v>
      </c>
      <c r="E19" s="163">
        <v>0</v>
      </c>
      <c r="F19" s="158">
        <v>1</v>
      </c>
      <c r="G19" s="163">
        <v>0</v>
      </c>
      <c r="H19" s="163">
        <v>0</v>
      </c>
      <c r="I19" s="163">
        <v>0</v>
      </c>
      <c r="J19" s="163">
        <v>0</v>
      </c>
      <c r="K19" s="163">
        <v>0</v>
      </c>
      <c r="L19" s="163">
        <v>0</v>
      </c>
      <c r="M19" s="163">
        <v>0</v>
      </c>
      <c r="N19" s="163">
        <v>0</v>
      </c>
      <c r="O19" s="163">
        <v>0</v>
      </c>
      <c r="P19" s="163">
        <v>0</v>
      </c>
      <c r="Q19" s="163">
        <v>0</v>
      </c>
      <c r="R19" s="163">
        <v>0</v>
      </c>
      <c r="S19" s="163">
        <v>0</v>
      </c>
      <c r="T19" s="158">
        <v>1</v>
      </c>
      <c r="U19" s="158">
        <v>1</v>
      </c>
      <c r="V19" s="163">
        <v>0</v>
      </c>
    </row>
    <row r="20" spans="1:857" ht="14.4">
      <c r="A20" s="127" t="str">
        <f t="shared" si="2"/>
        <v>EX5</v>
      </c>
      <c r="B20" s="163">
        <v>0</v>
      </c>
      <c r="C20" s="163">
        <v>0</v>
      </c>
      <c r="D20" s="163">
        <v>0</v>
      </c>
      <c r="E20" s="163">
        <v>0</v>
      </c>
      <c r="F20" s="163">
        <v>0</v>
      </c>
      <c r="G20" s="163">
        <v>0</v>
      </c>
      <c r="H20" s="163">
        <v>0</v>
      </c>
      <c r="I20" s="163">
        <v>0</v>
      </c>
      <c r="J20" s="163">
        <v>0</v>
      </c>
      <c r="K20" s="163">
        <v>0</v>
      </c>
      <c r="L20" s="163">
        <v>0</v>
      </c>
      <c r="M20" s="163">
        <v>0</v>
      </c>
      <c r="N20" s="163">
        <v>0</v>
      </c>
      <c r="O20" s="163">
        <v>0</v>
      </c>
      <c r="P20" s="163">
        <v>0</v>
      </c>
      <c r="Q20" s="163">
        <v>0</v>
      </c>
      <c r="R20" s="163">
        <v>0</v>
      </c>
      <c r="S20" s="163">
        <v>0</v>
      </c>
      <c r="T20" s="163">
        <v>0</v>
      </c>
      <c r="U20" s="163">
        <v>0</v>
      </c>
      <c r="V20" s="163">
        <v>0</v>
      </c>
    </row>
    <row r="21" spans="1:857" ht="14.4">
      <c r="A21" s="127" t="str">
        <f t="shared" si="2"/>
        <v>EX6</v>
      </c>
      <c r="B21" s="163">
        <v>0</v>
      </c>
      <c r="C21" s="163">
        <v>0</v>
      </c>
      <c r="D21" s="159">
        <v>0.5</v>
      </c>
      <c r="E21" s="163">
        <v>0</v>
      </c>
      <c r="F21" s="158">
        <v>1</v>
      </c>
      <c r="G21" s="158">
        <v>1</v>
      </c>
      <c r="H21" s="159">
        <v>0.5</v>
      </c>
      <c r="I21" s="163">
        <v>0</v>
      </c>
      <c r="J21" s="163">
        <v>0</v>
      </c>
      <c r="K21" s="163">
        <v>0</v>
      </c>
      <c r="L21" s="163">
        <v>0</v>
      </c>
      <c r="M21" s="163">
        <v>0</v>
      </c>
      <c r="N21" s="163">
        <v>0</v>
      </c>
      <c r="O21" s="163">
        <v>0</v>
      </c>
      <c r="P21" s="163">
        <v>0</v>
      </c>
      <c r="Q21" s="163">
        <v>0</v>
      </c>
      <c r="R21" s="163">
        <v>0</v>
      </c>
      <c r="S21" s="163">
        <v>0</v>
      </c>
      <c r="T21" s="158">
        <v>1</v>
      </c>
      <c r="U21" s="163">
        <v>0</v>
      </c>
      <c r="V21" s="163">
        <v>0</v>
      </c>
    </row>
    <row r="22" spans="1:857" ht="14.4" hidden="1">
      <c r="A22" s="127" t="str">
        <f t="shared" si="2"/>
        <v>SA</v>
      </c>
      <c r="B22" s="163">
        <v>0</v>
      </c>
      <c r="C22" s="163">
        <v>0</v>
      </c>
      <c r="D22" s="159">
        <v>0.5</v>
      </c>
      <c r="E22" s="163">
        <v>0</v>
      </c>
      <c r="F22" s="163">
        <v>0</v>
      </c>
      <c r="G22" s="163">
        <v>0</v>
      </c>
      <c r="H22" s="163">
        <v>0</v>
      </c>
      <c r="I22" s="158">
        <v>1</v>
      </c>
      <c r="J22" s="163">
        <v>0</v>
      </c>
      <c r="K22" s="163">
        <v>0</v>
      </c>
      <c r="L22" s="163">
        <v>0</v>
      </c>
      <c r="M22" s="163">
        <v>0</v>
      </c>
      <c r="N22" s="163">
        <v>0</v>
      </c>
      <c r="O22" s="163">
        <v>0</v>
      </c>
      <c r="P22" s="158">
        <v>1</v>
      </c>
      <c r="Q22" s="163">
        <v>0</v>
      </c>
      <c r="R22" s="163">
        <v>0</v>
      </c>
      <c r="S22" s="163">
        <v>0</v>
      </c>
      <c r="T22" s="163">
        <v>0</v>
      </c>
      <c r="U22" s="161">
        <v>0</v>
      </c>
      <c r="V22" s="163">
        <v>0</v>
      </c>
    </row>
    <row r="23" spans="1:857" ht="14.4">
      <c r="A23" s="127" t="str">
        <f t="shared" si="2"/>
        <v>EX7</v>
      </c>
      <c r="B23" s="163">
        <v>0</v>
      </c>
      <c r="C23" s="163">
        <v>0</v>
      </c>
      <c r="D23" s="163">
        <v>0</v>
      </c>
      <c r="E23" s="159">
        <v>0.5</v>
      </c>
      <c r="F23" s="163">
        <v>0</v>
      </c>
      <c r="G23" s="163">
        <v>0</v>
      </c>
      <c r="H23" s="158">
        <v>1</v>
      </c>
      <c r="I23" s="158">
        <v>1</v>
      </c>
      <c r="J23" s="163">
        <v>0</v>
      </c>
      <c r="K23" s="163">
        <v>0</v>
      </c>
      <c r="L23" s="163">
        <v>0</v>
      </c>
      <c r="M23" s="163">
        <v>0</v>
      </c>
      <c r="N23" s="163">
        <v>0</v>
      </c>
      <c r="O23" s="163">
        <v>0</v>
      </c>
      <c r="P23" s="163">
        <v>0</v>
      </c>
      <c r="Q23" s="163">
        <v>0</v>
      </c>
      <c r="R23" s="163">
        <v>0</v>
      </c>
      <c r="S23" s="163">
        <v>0</v>
      </c>
      <c r="T23" s="163">
        <v>0</v>
      </c>
      <c r="U23" s="158">
        <v>1</v>
      </c>
      <c r="V23" s="163">
        <v>0</v>
      </c>
    </row>
    <row r="24" spans="1:857" ht="14.4">
      <c r="A24" s="127" t="str">
        <f t="shared" si="2"/>
        <v>EX8</v>
      </c>
      <c r="B24" s="158">
        <v>1</v>
      </c>
      <c r="C24" s="163">
        <v>0</v>
      </c>
      <c r="D24" s="158">
        <v>1</v>
      </c>
      <c r="E24" s="163">
        <v>0</v>
      </c>
      <c r="F24" s="158">
        <v>1</v>
      </c>
      <c r="G24" s="158">
        <v>1</v>
      </c>
      <c r="H24" s="159">
        <v>0.5</v>
      </c>
      <c r="I24" s="163">
        <v>0</v>
      </c>
      <c r="J24" s="163">
        <v>0</v>
      </c>
      <c r="K24" s="163">
        <v>0</v>
      </c>
      <c r="L24" s="163">
        <v>0</v>
      </c>
      <c r="M24" s="163">
        <v>0</v>
      </c>
      <c r="N24" s="163">
        <v>0</v>
      </c>
      <c r="O24" s="163">
        <v>0</v>
      </c>
      <c r="P24" s="163">
        <v>0</v>
      </c>
      <c r="Q24" s="163">
        <v>0</v>
      </c>
      <c r="R24" s="163">
        <v>0</v>
      </c>
      <c r="S24" s="163">
        <v>0</v>
      </c>
      <c r="T24" s="163">
        <v>0</v>
      </c>
      <c r="U24" s="163">
        <v>0</v>
      </c>
      <c r="V24" s="163">
        <v>0</v>
      </c>
    </row>
    <row r="25" spans="1:857" s="18" customFormat="1">
      <c r="B25" s="160">
        <f t="shared" ref="B25:P25" si="3">SUM(B16:B24)</f>
        <v>2</v>
      </c>
      <c r="C25" s="160">
        <f t="shared" si="3"/>
        <v>0</v>
      </c>
      <c r="D25" s="160">
        <f t="shared" si="3"/>
        <v>3.5</v>
      </c>
      <c r="E25" s="160">
        <f t="shared" si="3"/>
        <v>0.5</v>
      </c>
      <c r="F25" s="160">
        <f t="shared" si="3"/>
        <v>4</v>
      </c>
      <c r="G25" s="160">
        <f t="shared" si="3"/>
        <v>3.5</v>
      </c>
      <c r="H25" s="160">
        <f t="shared" si="3"/>
        <v>2</v>
      </c>
      <c r="I25" s="160">
        <f t="shared" si="3"/>
        <v>2</v>
      </c>
      <c r="J25" s="160">
        <f t="shared" si="3"/>
        <v>0</v>
      </c>
      <c r="K25" s="160">
        <f t="shared" si="3"/>
        <v>0</v>
      </c>
      <c r="L25" s="160">
        <f t="shared" si="3"/>
        <v>0</v>
      </c>
      <c r="M25" s="160">
        <f t="shared" si="3"/>
        <v>0</v>
      </c>
      <c r="N25" s="160">
        <f t="shared" si="3"/>
        <v>0</v>
      </c>
      <c r="O25" s="160">
        <f t="shared" si="3"/>
        <v>0</v>
      </c>
      <c r="P25" s="160">
        <f t="shared" si="3"/>
        <v>2</v>
      </c>
      <c r="Q25" s="160">
        <f t="shared" ref="Q25:R25" si="4">SUM(Q16:Q24)</f>
        <v>0</v>
      </c>
      <c r="R25" s="160">
        <f t="shared" si="4"/>
        <v>0</v>
      </c>
      <c r="S25" s="160">
        <f t="shared" ref="S25:T25" si="5">SUM(S16:S24)</f>
        <v>0</v>
      </c>
      <c r="T25" s="160">
        <f t="shared" si="5"/>
        <v>4</v>
      </c>
      <c r="U25" s="160">
        <f t="shared" ref="U25:V25" si="6">SUM(U16:U24)</f>
        <v>4</v>
      </c>
      <c r="V25" s="160">
        <f t="shared" si="6"/>
        <v>0</v>
      </c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0"/>
      <c r="AI25" s="160"/>
      <c r="AJ25" s="160"/>
      <c r="AK25" s="160"/>
      <c r="AL25" s="160"/>
      <c r="AM25" s="160"/>
      <c r="AN25" s="160"/>
      <c r="AO25" s="160"/>
      <c r="AP25" s="16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60"/>
      <c r="BD25" s="160"/>
      <c r="BE25" s="160"/>
      <c r="BF25" s="160"/>
      <c r="BG25" s="160"/>
      <c r="BH25" s="160"/>
      <c r="BI25" s="160"/>
      <c r="BJ25" s="160"/>
      <c r="BK25" s="160"/>
      <c r="BL25" s="160"/>
      <c r="BM25" s="160"/>
      <c r="BN25" s="160"/>
      <c r="BO25" s="160"/>
      <c r="BP25" s="160"/>
      <c r="BQ25" s="160"/>
      <c r="BR25" s="160"/>
      <c r="BS25" s="160"/>
      <c r="BT25" s="160"/>
      <c r="BU25" s="160"/>
      <c r="BV25" s="160"/>
      <c r="BW25" s="160"/>
      <c r="BX25" s="160"/>
      <c r="BY25" s="160"/>
      <c r="BZ25" s="160"/>
      <c r="CA25" s="160"/>
      <c r="CB25" s="160"/>
      <c r="CC25" s="160"/>
      <c r="CD25" s="160"/>
      <c r="CE25" s="160"/>
      <c r="CF25" s="160"/>
      <c r="CG25" s="160"/>
      <c r="CH25" s="160"/>
      <c r="CI25" s="160"/>
      <c r="CJ25" s="160"/>
      <c r="CK25" s="160"/>
      <c r="CL25" s="160"/>
      <c r="CM25" s="160"/>
      <c r="CN25" s="160"/>
      <c r="CO25" s="160"/>
      <c r="CP25" s="160"/>
      <c r="CQ25" s="160"/>
      <c r="CR25" s="160"/>
      <c r="CS25" s="160"/>
      <c r="CT25" s="160"/>
      <c r="CU25" s="160"/>
      <c r="CV25" s="160"/>
      <c r="CW25" s="160"/>
      <c r="CX25" s="160"/>
      <c r="CY25" s="160"/>
      <c r="CZ25" s="160"/>
      <c r="DA25" s="160"/>
      <c r="DB25" s="160"/>
      <c r="DC25" s="160"/>
      <c r="DD25" s="160"/>
      <c r="DE25" s="160"/>
      <c r="DF25" s="160"/>
      <c r="DG25" s="160"/>
      <c r="DH25" s="160"/>
      <c r="DI25" s="160"/>
      <c r="DJ25" s="160"/>
      <c r="DK25" s="160"/>
      <c r="DL25" s="160"/>
      <c r="DM25" s="160"/>
      <c r="DN25" s="160"/>
      <c r="DO25" s="160"/>
      <c r="DP25" s="160"/>
      <c r="DQ25" s="160"/>
      <c r="DR25" s="160"/>
      <c r="DS25" s="160"/>
      <c r="DT25" s="160"/>
      <c r="DU25" s="160"/>
      <c r="DV25" s="160"/>
      <c r="DW25" s="160"/>
      <c r="DX25" s="160"/>
      <c r="DY25" s="160"/>
      <c r="DZ25" s="160"/>
      <c r="EA25" s="160"/>
      <c r="EB25" s="160"/>
      <c r="EC25" s="160"/>
      <c r="ED25" s="160"/>
      <c r="EE25" s="160"/>
      <c r="EF25" s="160"/>
      <c r="EG25" s="160"/>
      <c r="EH25" s="160"/>
      <c r="EI25" s="160"/>
      <c r="EJ25" s="160"/>
      <c r="EK25" s="160"/>
      <c r="EL25" s="160"/>
      <c r="EM25" s="160"/>
      <c r="EN25" s="160"/>
      <c r="EO25" s="160"/>
      <c r="EP25" s="160"/>
      <c r="EQ25" s="160"/>
      <c r="ER25" s="160"/>
      <c r="ES25" s="160"/>
      <c r="ET25" s="160"/>
      <c r="EU25" s="160"/>
      <c r="EV25" s="160"/>
      <c r="EW25" s="160"/>
      <c r="EX25" s="160"/>
      <c r="EY25" s="160"/>
      <c r="EZ25" s="160"/>
      <c r="FA25" s="160"/>
      <c r="FB25" s="160"/>
      <c r="FC25" s="160"/>
      <c r="FD25" s="160"/>
      <c r="FE25" s="160"/>
      <c r="FF25" s="160"/>
      <c r="FG25" s="160"/>
      <c r="FH25" s="160"/>
      <c r="FI25" s="160"/>
      <c r="FJ25" s="160"/>
      <c r="FK25" s="160"/>
      <c r="FL25" s="160"/>
      <c r="FM25" s="160"/>
      <c r="FN25" s="160"/>
      <c r="FO25" s="160"/>
      <c r="FP25" s="160"/>
      <c r="FQ25" s="160"/>
      <c r="FR25" s="160"/>
      <c r="FS25" s="160"/>
      <c r="FT25" s="160"/>
      <c r="FU25" s="160"/>
      <c r="FV25" s="160"/>
      <c r="FW25" s="160"/>
      <c r="FX25" s="160"/>
      <c r="FY25" s="160"/>
      <c r="FZ25" s="160"/>
      <c r="GA25" s="160"/>
      <c r="GB25" s="160"/>
      <c r="GC25" s="160"/>
      <c r="GD25" s="160"/>
      <c r="GE25" s="160"/>
      <c r="GF25" s="160"/>
      <c r="GG25" s="160"/>
      <c r="GH25" s="160"/>
      <c r="GI25" s="160"/>
      <c r="GJ25" s="160"/>
      <c r="GK25" s="160"/>
      <c r="GL25" s="160"/>
      <c r="GM25" s="160"/>
      <c r="GN25" s="160"/>
      <c r="GO25" s="160"/>
      <c r="GP25" s="160"/>
      <c r="GQ25" s="160"/>
      <c r="GR25" s="160"/>
      <c r="GS25" s="160"/>
      <c r="GT25" s="160"/>
      <c r="GU25" s="160"/>
      <c r="GV25" s="160"/>
      <c r="GW25" s="160"/>
      <c r="GX25" s="160"/>
      <c r="GY25" s="160"/>
      <c r="GZ25" s="160"/>
      <c r="HA25" s="160"/>
      <c r="HB25" s="160"/>
      <c r="HC25" s="160"/>
      <c r="HD25" s="160"/>
      <c r="HE25" s="160"/>
      <c r="HF25" s="160"/>
      <c r="HG25" s="160"/>
      <c r="HH25" s="160"/>
      <c r="HI25" s="160"/>
      <c r="HJ25" s="160"/>
      <c r="HK25" s="160"/>
      <c r="HL25" s="160"/>
      <c r="HM25" s="160"/>
      <c r="HN25" s="160"/>
      <c r="HO25" s="160"/>
      <c r="HP25" s="160"/>
      <c r="HQ25" s="160"/>
      <c r="HR25" s="160"/>
      <c r="HS25" s="160"/>
      <c r="HT25" s="160"/>
      <c r="HU25" s="160"/>
      <c r="HV25" s="160"/>
      <c r="HW25" s="160"/>
      <c r="HX25" s="160"/>
      <c r="HY25" s="160"/>
      <c r="HZ25" s="160"/>
      <c r="IA25" s="160"/>
      <c r="IB25" s="160"/>
      <c r="IC25" s="160"/>
      <c r="ID25" s="160"/>
      <c r="IE25" s="160"/>
      <c r="IF25" s="160"/>
      <c r="IG25" s="160"/>
      <c r="IH25" s="160"/>
      <c r="II25" s="160"/>
      <c r="IJ25" s="160"/>
      <c r="IK25" s="160"/>
      <c r="IL25" s="160"/>
      <c r="IM25" s="160"/>
      <c r="IN25" s="160"/>
      <c r="IO25" s="160"/>
      <c r="IP25" s="160"/>
      <c r="IQ25" s="160"/>
      <c r="IR25" s="160"/>
      <c r="IS25" s="160"/>
      <c r="IT25" s="160"/>
      <c r="IU25" s="160"/>
      <c r="IV25" s="160"/>
      <c r="IW25" s="160"/>
      <c r="IX25" s="160"/>
      <c r="IY25" s="160"/>
      <c r="IZ25" s="160"/>
      <c r="JA25" s="160"/>
      <c r="JB25" s="160"/>
      <c r="JC25" s="160"/>
      <c r="JD25" s="160"/>
      <c r="JE25" s="160"/>
      <c r="JF25" s="160"/>
      <c r="JG25" s="160"/>
      <c r="JH25" s="160"/>
      <c r="JI25" s="160"/>
      <c r="JJ25" s="160"/>
      <c r="JK25" s="160"/>
      <c r="JL25" s="160"/>
      <c r="JM25" s="160"/>
      <c r="JN25" s="160"/>
      <c r="JO25" s="160"/>
      <c r="JP25" s="160"/>
      <c r="JQ25" s="160"/>
      <c r="JR25" s="160"/>
      <c r="JS25" s="160"/>
      <c r="JT25" s="160"/>
      <c r="JU25" s="160"/>
      <c r="JV25" s="160"/>
      <c r="JW25" s="160"/>
      <c r="JX25" s="160"/>
      <c r="JY25" s="160"/>
      <c r="JZ25" s="160"/>
      <c r="KA25" s="160"/>
      <c r="KB25" s="160"/>
      <c r="KC25" s="160"/>
      <c r="KD25" s="160"/>
      <c r="KE25" s="160"/>
      <c r="KF25" s="160"/>
      <c r="KG25" s="160"/>
      <c r="KH25" s="160"/>
      <c r="KI25" s="160"/>
      <c r="KJ25" s="160"/>
      <c r="KK25" s="160"/>
      <c r="KL25" s="160"/>
      <c r="KM25" s="160"/>
      <c r="KN25" s="160"/>
      <c r="KO25" s="160"/>
      <c r="KP25" s="160"/>
      <c r="KQ25" s="160"/>
      <c r="KR25" s="160"/>
      <c r="KS25" s="160"/>
      <c r="KT25" s="160"/>
      <c r="KU25" s="160"/>
      <c r="KV25" s="160"/>
      <c r="KW25" s="160"/>
      <c r="KX25" s="160"/>
      <c r="KY25" s="160"/>
      <c r="KZ25" s="160"/>
      <c r="LA25" s="160"/>
      <c r="LB25" s="160"/>
      <c r="LC25" s="160"/>
      <c r="LD25" s="160"/>
      <c r="LE25" s="160"/>
      <c r="LF25" s="160"/>
      <c r="LG25" s="160"/>
      <c r="LH25" s="160"/>
      <c r="LI25" s="160"/>
      <c r="LJ25" s="160"/>
      <c r="LK25" s="160"/>
      <c r="LL25" s="160"/>
      <c r="LM25" s="160"/>
      <c r="LN25" s="160"/>
      <c r="LO25" s="160"/>
      <c r="LP25" s="160"/>
      <c r="LQ25" s="160"/>
      <c r="LR25" s="160"/>
      <c r="LS25" s="160"/>
      <c r="LT25" s="160"/>
      <c r="LU25" s="160"/>
      <c r="LV25" s="160"/>
      <c r="LW25" s="160"/>
      <c r="LX25" s="160"/>
      <c r="LY25" s="160"/>
      <c r="LZ25" s="160"/>
      <c r="MA25" s="160"/>
      <c r="MB25" s="160"/>
      <c r="MC25" s="160"/>
      <c r="MD25" s="160"/>
      <c r="ME25" s="160"/>
      <c r="MF25" s="160"/>
      <c r="MG25" s="160"/>
      <c r="MH25" s="160"/>
      <c r="MI25" s="160"/>
      <c r="MJ25" s="160"/>
      <c r="MK25" s="160"/>
      <c r="ML25" s="160"/>
      <c r="MM25" s="160"/>
      <c r="MN25" s="160"/>
      <c r="MO25" s="160"/>
      <c r="MP25" s="160"/>
      <c r="MQ25" s="160"/>
      <c r="MR25" s="160"/>
      <c r="MS25" s="160"/>
      <c r="MT25" s="160"/>
      <c r="MU25" s="160"/>
      <c r="MV25" s="160"/>
      <c r="MW25" s="160"/>
      <c r="MX25" s="160"/>
      <c r="MY25" s="160"/>
      <c r="MZ25" s="160"/>
      <c r="NA25" s="160"/>
      <c r="NB25" s="160"/>
      <c r="NC25" s="160"/>
      <c r="ND25" s="160"/>
      <c r="NE25" s="160"/>
      <c r="NF25" s="160"/>
      <c r="NG25" s="160"/>
      <c r="NH25" s="160"/>
      <c r="NI25" s="160"/>
      <c r="NJ25" s="160"/>
      <c r="NK25" s="160"/>
      <c r="NL25" s="160"/>
      <c r="NM25" s="160"/>
      <c r="NN25" s="160"/>
      <c r="NO25" s="160"/>
      <c r="NP25" s="160"/>
      <c r="NQ25" s="160"/>
      <c r="NR25" s="160"/>
      <c r="NS25" s="160"/>
      <c r="NT25" s="160"/>
      <c r="NU25" s="160"/>
      <c r="NV25" s="160"/>
      <c r="NW25" s="160"/>
      <c r="NX25" s="160"/>
      <c r="NY25" s="160"/>
      <c r="NZ25" s="160"/>
      <c r="OA25" s="160"/>
      <c r="OB25" s="160"/>
      <c r="OC25" s="160"/>
      <c r="OD25" s="160"/>
      <c r="OE25" s="160"/>
      <c r="OF25" s="160"/>
      <c r="OG25" s="160"/>
      <c r="OH25" s="160"/>
      <c r="OI25" s="160"/>
      <c r="OJ25" s="160"/>
      <c r="OK25" s="160"/>
      <c r="OL25" s="160"/>
      <c r="OM25" s="160"/>
      <c r="ON25" s="160"/>
      <c r="OO25" s="160"/>
      <c r="OP25" s="160"/>
      <c r="OQ25" s="160"/>
      <c r="OR25" s="160"/>
      <c r="OS25" s="160"/>
      <c r="OT25" s="160"/>
      <c r="OU25" s="160"/>
      <c r="OV25" s="160"/>
      <c r="OW25" s="160"/>
      <c r="OX25" s="160"/>
      <c r="OY25" s="160"/>
      <c r="OZ25" s="160"/>
      <c r="PA25" s="160"/>
      <c r="PB25" s="160"/>
      <c r="PC25" s="160"/>
      <c r="PD25" s="160"/>
      <c r="PE25" s="160"/>
      <c r="PF25" s="160"/>
      <c r="PG25" s="160"/>
      <c r="PH25" s="160"/>
      <c r="PI25" s="160"/>
      <c r="PJ25" s="160"/>
      <c r="PK25" s="160"/>
      <c r="PL25" s="160"/>
      <c r="PM25" s="160"/>
      <c r="PN25" s="160"/>
      <c r="PO25" s="160"/>
      <c r="PP25" s="160"/>
      <c r="PQ25" s="160"/>
      <c r="PR25" s="160"/>
      <c r="PS25" s="160"/>
      <c r="PT25" s="160"/>
      <c r="PU25" s="160"/>
      <c r="PV25" s="160"/>
      <c r="PW25" s="160"/>
      <c r="PX25" s="160"/>
      <c r="PY25" s="160"/>
      <c r="PZ25" s="160"/>
      <c r="QA25" s="160"/>
      <c r="QB25" s="160"/>
      <c r="QC25" s="160"/>
      <c r="QD25" s="160"/>
      <c r="QE25" s="160"/>
      <c r="QF25" s="160"/>
      <c r="QG25" s="160"/>
      <c r="QH25" s="160"/>
      <c r="QI25" s="160"/>
      <c r="QJ25" s="160"/>
      <c r="QK25" s="160"/>
      <c r="QL25" s="160"/>
      <c r="QM25" s="160"/>
      <c r="QN25" s="160"/>
      <c r="QO25" s="160"/>
      <c r="QP25" s="160"/>
      <c r="QQ25" s="160"/>
      <c r="QR25" s="160"/>
      <c r="QS25" s="160"/>
      <c r="QT25" s="160"/>
      <c r="QU25" s="160"/>
      <c r="QV25" s="160"/>
      <c r="QW25" s="160"/>
      <c r="QX25" s="160"/>
      <c r="QY25" s="160"/>
      <c r="QZ25" s="160"/>
      <c r="RA25" s="160"/>
      <c r="RB25" s="160"/>
      <c r="RC25" s="160"/>
      <c r="RD25" s="160"/>
      <c r="RE25" s="160"/>
      <c r="RF25" s="160"/>
      <c r="RG25" s="160"/>
      <c r="RH25" s="160"/>
      <c r="RI25" s="160"/>
      <c r="RJ25" s="160"/>
      <c r="RK25" s="160"/>
      <c r="RL25" s="160"/>
      <c r="RM25" s="160"/>
      <c r="RN25" s="160"/>
      <c r="RO25" s="160"/>
      <c r="RP25" s="160"/>
      <c r="RQ25" s="160"/>
      <c r="RR25" s="160"/>
      <c r="RS25" s="160"/>
      <c r="RT25" s="160"/>
      <c r="RU25" s="160"/>
      <c r="RV25" s="160"/>
      <c r="RW25" s="160"/>
      <c r="RX25" s="160"/>
      <c r="RY25" s="160"/>
      <c r="RZ25" s="160"/>
      <c r="SA25" s="160"/>
      <c r="SB25" s="160"/>
      <c r="SC25" s="160"/>
      <c r="SD25" s="160"/>
      <c r="SE25" s="160"/>
      <c r="SF25" s="160"/>
      <c r="SG25" s="160"/>
      <c r="SH25" s="160"/>
      <c r="SI25" s="160"/>
      <c r="SJ25" s="160"/>
      <c r="SK25" s="160"/>
      <c r="SL25" s="160"/>
      <c r="SM25" s="160"/>
      <c r="SN25" s="160"/>
      <c r="SO25" s="160"/>
      <c r="SP25" s="160"/>
      <c r="SQ25" s="160"/>
      <c r="SR25" s="160"/>
      <c r="SS25" s="160"/>
      <c r="ST25" s="160"/>
      <c r="SU25" s="160"/>
      <c r="SV25" s="160"/>
      <c r="SW25" s="160"/>
      <c r="SX25" s="160"/>
      <c r="SY25" s="160"/>
      <c r="SZ25" s="160"/>
      <c r="TA25" s="160"/>
      <c r="TB25" s="160"/>
      <c r="TC25" s="160"/>
      <c r="TD25" s="160"/>
      <c r="TE25" s="160"/>
      <c r="TF25" s="160"/>
      <c r="TG25" s="160"/>
      <c r="TH25" s="160"/>
      <c r="TI25" s="160"/>
      <c r="TJ25" s="160"/>
      <c r="TK25" s="160"/>
      <c r="TL25" s="160"/>
      <c r="TM25" s="160"/>
      <c r="TN25" s="160"/>
      <c r="TO25" s="160"/>
      <c r="TP25" s="160"/>
      <c r="TQ25" s="160"/>
      <c r="TR25" s="160"/>
      <c r="TS25" s="160"/>
      <c r="TT25" s="160"/>
      <c r="TU25" s="160"/>
      <c r="TV25" s="160"/>
      <c r="TW25" s="160"/>
      <c r="TX25" s="160"/>
      <c r="TY25" s="160"/>
      <c r="TZ25" s="160"/>
      <c r="UA25" s="160"/>
      <c r="UB25" s="160"/>
      <c r="UC25" s="160"/>
      <c r="UD25" s="160"/>
      <c r="UE25" s="160"/>
      <c r="UF25" s="160"/>
      <c r="UG25" s="160"/>
      <c r="UH25" s="160"/>
      <c r="UI25" s="160"/>
      <c r="UJ25" s="160"/>
      <c r="UK25" s="160"/>
      <c r="UL25" s="160"/>
      <c r="UM25" s="160"/>
      <c r="UN25" s="160"/>
      <c r="UO25" s="160"/>
      <c r="UP25" s="160"/>
      <c r="UQ25" s="160"/>
      <c r="UR25" s="160"/>
      <c r="US25" s="160"/>
      <c r="UT25" s="160"/>
      <c r="UU25" s="160"/>
      <c r="UV25" s="160"/>
      <c r="UW25" s="160"/>
      <c r="UX25" s="160"/>
      <c r="UY25" s="160"/>
      <c r="UZ25" s="160"/>
      <c r="VA25" s="160"/>
      <c r="VB25" s="160"/>
      <c r="VC25" s="160"/>
      <c r="VD25" s="160"/>
      <c r="VE25" s="160"/>
      <c r="VF25" s="160"/>
      <c r="VG25" s="160"/>
      <c r="VH25" s="160"/>
      <c r="VI25" s="160"/>
      <c r="VJ25" s="160"/>
      <c r="VK25" s="160"/>
      <c r="VL25" s="160"/>
      <c r="VM25" s="160"/>
      <c r="VN25" s="160"/>
      <c r="VO25" s="160"/>
      <c r="VP25" s="160"/>
      <c r="VQ25" s="160"/>
      <c r="VR25" s="160"/>
      <c r="VS25" s="160"/>
      <c r="VT25" s="160"/>
      <c r="VU25" s="160"/>
      <c r="VV25" s="160"/>
      <c r="VW25" s="160"/>
      <c r="VX25" s="160"/>
      <c r="VY25" s="160"/>
      <c r="VZ25" s="160"/>
      <c r="WA25" s="160"/>
      <c r="WB25" s="160"/>
      <c r="WC25" s="160"/>
      <c r="WD25" s="160"/>
      <c r="WE25" s="160"/>
      <c r="WF25" s="160"/>
      <c r="WG25" s="160"/>
      <c r="WH25" s="160"/>
      <c r="WI25" s="160"/>
      <c r="WJ25" s="160"/>
      <c r="WK25" s="160"/>
      <c r="WL25" s="160"/>
      <c r="WM25" s="160"/>
      <c r="WN25" s="160"/>
      <c r="WO25" s="160"/>
      <c r="WP25" s="160"/>
      <c r="WQ25" s="160"/>
      <c r="WR25" s="160"/>
      <c r="WS25" s="160"/>
      <c r="WT25" s="160"/>
      <c r="WU25" s="160"/>
      <c r="WV25" s="160"/>
      <c r="WW25" s="160"/>
      <c r="WX25" s="160"/>
      <c r="WY25" s="160"/>
      <c r="WZ25" s="160"/>
      <c r="XA25" s="160"/>
      <c r="XB25" s="160"/>
      <c r="XC25" s="160"/>
      <c r="XD25" s="160"/>
      <c r="XE25" s="160"/>
      <c r="XF25" s="160"/>
      <c r="XG25" s="160"/>
      <c r="XH25" s="160"/>
      <c r="XI25" s="160"/>
      <c r="XJ25" s="160"/>
      <c r="XK25" s="160"/>
      <c r="XL25" s="160"/>
      <c r="XM25" s="160"/>
      <c r="XN25" s="160"/>
      <c r="XO25" s="160"/>
      <c r="XP25" s="160"/>
      <c r="XQ25" s="160"/>
      <c r="XR25" s="160"/>
      <c r="XS25" s="160"/>
      <c r="XT25" s="160"/>
      <c r="XU25" s="160"/>
      <c r="XV25" s="160"/>
      <c r="XW25" s="160"/>
      <c r="XX25" s="160"/>
      <c r="XY25" s="160"/>
      <c r="XZ25" s="160"/>
      <c r="YA25" s="160"/>
      <c r="YB25" s="160"/>
      <c r="YC25" s="160"/>
      <c r="YD25" s="160"/>
      <c r="YE25" s="160"/>
      <c r="YF25" s="160"/>
      <c r="YG25" s="160"/>
      <c r="YH25" s="160"/>
      <c r="YI25" s="160"/>
      <c r="YJ25" s="160"/>
      <c r="YK25" s="160"/>
      <c r="YL25" s="160"/>
      <c r="YM25" s="160"/>
      <c r="YN25" s="160"/>
      <c r="YO25" s="160"/>
      <c r="YP25" s="160"/>
      <c r="YQ25" s="160"/>
      <c r="YR25" s="160"/>
      <c r="YS25" s="160"/>
      <c r="YT25" s="160"/>
      <c r="YU25" s="160"/>
      <c r="YV25" s="160"/>
      <c r="YW25" s="160"/>
      <c r="YX25" s="160"/>
      <c r="YY25" s="160"/>
      <c r="YZ25" s="160"/>
      <c r="ZA25" s="160"/>
      <c r="ZB25" s="160"/>
      <c r="ZC25" s="160"/>
      <c r="ZD25" s="160"/>
      <c r="ZE25" s="160"/>
      <c r="ZF25" s="160"/>
      <c r="ZG25" s="160"/>
      <c r="ZH25" s="160"/>
      <c r="ZI25" s="160"/>
      <c r="ZJ25" s="160"/>
      <c r="ZK25" s="160"/>
      <c r="ZL25" s="160"/>
      <c r="ZM25" s="160"/>
      <c r="ZN25" s="160"/>
      <c r="ZO25" s="160"/>
      <c r="ZP25" s="160"/>
      <c r="ZQ25" s="160"/>
      <c r="ZR25" s="160"/>
      <c r="ZS25" s="160"/>
      <c r="ZT25" s="160"/>
      <c r="ZU25" s="160"/>
      <c r="ZV25" s="160"/>
      <c r="ZW25" s="160"/>
      <c r="ZX25" s="160"/>
      <c r="ZY25" s="160"/>
      <c r="ZZ25" s="160"/>
      <c r="AAA25" s="160"/>
      <c r="AAB25" s="160"/>
      <c r="AAC25" s="160"/>
      <c r="AAD25" s="160"/>
      <c r="AAE25" s="160"/>
      <c r="AAF25" s="160"/>
      <c r="AAG25" s="160"/>
      <c r="AAH25" s="160"/>
      <c r="AAI25" s="160"/>
      <c r="AAJ25" s="160"/>
      <c r="AAK25" s="160"/>
      <c r="AAL25" s="160"/>
      <c r="AAM25" s="160"/>
      <c r="AAN25" s="160"/>
      <c r="AAO25" s="160"/>
      <c r="AAP25" s="160"/>
      <c r="AAQ25" s="160"/>
      <c r="AAR25" s="160"/>
      <c r="AAS25" s="160"/>
      <c r="AAT25" s="160"/>
      <c r="AAU25" s="160"/>
      <c r="AAV25" s="160"/>
      <c r="AAW25" s="160"/>
      <c r="AAX25" s="160"/>
      <c r="AAY25" s="160"/>
      <c r="AAZ25" s="160"/>
      <c r="ABA25" s="160"/>
      <c r="ABB25" s="160"/>
      <c r="ABC25" s="160"/>
      <c r="ABD25" s="160"/>
      <c r="ABE25" s="160"/>
      <c r="ABF25" s="160"/>
      <c r="ABG25" s="160"/>
      <c r="ABH25" s="160"/>
      <c r="ABI25" s="160"/>
      <c r="ABJ25" s="160"/>
      <c r="ABK25" s="160"/>
      <c r="ABL25" s="160"/>
      <c r="ABM25" s="160"/>
      <c r="ABN25" s="160"/>
      <c r="ABO25" s="160"/>
      <c r="ABP25" s="160"/>
      <c r="ABQ25" s="160"/>
      <c r="ABR25" s="160"/>
      <c r="ABS25" s="160"/>
      <c r="ABT25" s="160"/>
      <c r="ABU25" s="160"/>
      <c r="ABV25" s="160"/>
      <c r="ABW25" s="160"/>
      <c r="ABX25" s="160"/>
      <c r="ABY25" s="160"/>
      <c r="ABZ25" s="160"/>
      <c r="ACA25" s="160"/>
      <c r="ACB25" s="160"/>
      <c r="ACC25" s="160"/>
      <c r="ACD25" s="160"/>
      <c r="ACE25" s="160"/>
      <c r="ACF25" s="160"/>
      <c r="ACG25" s="160"/>
      <c r="ACH25" s="160"/>
      <c r="ACI25" s="160"/>
      <c r="ACJ25" s="160"/>
      <c r="ACK25" s="160"/>
      <c r="ACL25" s="160"/>
      <c r="ACM25" s="160"/>
      <c r="ACN25" s="160"/>
      <c r="ACO25" s="160"/>
      <c r="ACP25" s="160"/>
      <c r="ACQ25" s="160"/>
      <c r="ACR25" s="160"/>
      <c r="ACS25" s="160"/>
      <c r="ACT25" s="160"/>
      <c r="ACU25" s="160"/>
      <c r="ACV25" s="160"/>
      <c r="ACW25" s="160"/>
      <c r="ACX25" s="160"/>
      <c r="ACY25" s="160"/>
      <c r="ACZ25" s="160"/>
      <c r="ADA25" s="160"/>
      <c r="ADB25" s="160"/>
      <c r="ADC25" s="160"/>
      <c r="ADD25" s="160"/>
      <c r="ADE25" s="160"/>
      <c r="ADF25" s="160"/>
      <c r="ADG25" s="160"/>
      <c r="ADH25" s="160"/>
      <c r="ADI25" s="160"/>
      <c r="ADJ25" s="160"/>
      <c r="ADK25" s="160"/>
      <c r="ADL25" s="160"/>
      <c r="ADM25" s="160"/>
      <c r="ADN25" s="160"/>
      <c r="ADO25" s="160"/>
      <c r="ADP25" s="160"/>
      <c r="ADQ25" s="160"/>
      <c r="ADR25" s="160"/>
      <c r="ADS25" s="160"/>
      <c r="ADT25" s="160"/>
      <c r="ADU25" s="160"/>
      <c r="ADV25" s="160"/>
      <c r="ADW25" s="160"/>
      <c r="ADX25" s="160"/>
      <c r="ADY25" s="160"/>
      <c r="ADZ25" s="160"/>
      <c r="AEA25" s="160"/>
      <c r="AEB25" s="160"/>
      <c r="AEC25" s="160"/>
      <c r="AED25" s="160"/>
      <c r="AEE25" s="160"/>
      <c r="AEF25" s="160"/>
      <c r="AEG25" s="160"/>
      <c r="AEH25" s="160"/>
      <c r="AEI25" s="160"/>
      <c r="AEJ25" s="160"/>
      <c r="AEK25" s="160"/>
      <c r="AEL25" s="160"/>
      <c r="AEM25" s="160"/>
      <c r="AEN25" s="160"/>
      <c r="AEO25" s="160"/>
      <c r="AEP25" s="160"/>
      <c r="AEQ25" s="160"/>
      <c r="AER25" s="160"/>
      <c r="AES25" s="160"/>
      <c r="AET25" s="160"/>
      <c r="AEU25" s="160"/>
      <c r="AEV25" s="160"/>
      <c r="AEW25" s="160"/>
      <c r="AEX25" s="160"/>
      <c r="AEY25" s="160"/>
      <c r="AEZ25" s="160"/>
      <c r="AFA25" s="160"/>
      <c r="AFB25" s="160"/>
      <c r="AFC25" s="160"/>
      <c r="AFD25" s="160"/>
      <c r="AFE25" s="160"/>
      <c r="AFF25" s="160"/>
      <c r="AFG25" s="160"/>
      <c r="AFH25" s="160"/>
      <c r="AFI25" s="160"/>
      <c r="AFJ25" s="160"/>
      <c r="AFK25" s="160"/>
      <c r="AFL25" s="160"/>
      <c r="AFM25" s="160"/>
      <c r="AFN25" s="160"/>
      <c r="AFO25" s="160"/>
      <c r="AFP25" s="160"/>
      <c r="AFQ25" s="160"/>
      <c r="AFR25" s="160"/>
      <c r="AFS25" s="160"/>
      <c r="AFT25" s="160"/>
      <c r="AFU25" s="160"/>
      <c r="AFV25" s="160"/>
      <c r="AFW25" s="160"/>
      <c r="AFX25" s="160"/>
      <c r="AFY25" s="160"/>
    </row>
    <row r="26" spans="1:857" s="122" customFormat="1">
      <c r="A26" s="122" t="s">
        <v>63</v>
      </c>
    </row>
    <row r="28" spans="1:857">
      <c r="A28" s="109" t="s">
        <v>59</v>
      </c>
      <c r="B28" s="123">
        <v>42080</v>
      </c>
      <c r="C28" s="128">
        <v>42087</v>
      </c>
      <c r="D28" s="128">
        <v>42095</v>
      </c>
      <c r="E28" s="123">
        <v>42102</v>
      </c>
      <c r="F28" s="129">
        <v>42111</v>
      </c>
      <c r="G28" s="129">
        <v>42118</v>
      </c>
      <c r="H28" s="123">
        <v>42124</v>
      </c>
      <c r="I28" s="128">
        <v>42132</v>
      </c>
      <c r="J28" s="123">
        <v>42139</v>
      </c>
      <c r="K28" s="123">
        <v>42146</v>
      </c>
      <c r="L28" s="128">
        <v>42153</v>
      </c>
      <c r="M28" s="123">
        <v>42158</v>
      </c>
      <c r="N28" s="123">
        <v>42167</v>
      </c>
      <c r="O28" s="123">
        <v>42174</v>
      </c>
      <c r="P28" s="123">
        <v>42181</v>
      </c>
      <c r="Q28" s="123">
        <v>42188</v>
      </c>
      <c r="R28" s="123">
        <v>42192</v>
      </c>
      <c r="S28" s="123">
        <v>42202</v>
      </c>
      <c r="T28" s="123">
        <v>42209</v>
      </c>
      <c r="U28" s="123">
        <v>42221</v>
      </c>
      <c r="V28" s="123">
        <v>42230</v>
      </c>
      <c r="W28" s="123">
        <v>42237</v>
      </c>
      <c r="X28" s="123">
        <v>42244</v>
      </c>
      <c r="Y28" s="123">
        <v>42251</v>
      </c>
      <c r="Z28" s="123">
        <v>42258</v>
      </c>
      <c r="AA28" s="123">
        <v>42265</v>
      </c>
      <c r="AB28" s="123">
        <v>42272</v>
      </c>
      <c r="AC28" s="123">
        <v>42279</v>
      </c>
      <c r="AD28" s="123">
        <v>42286</v>
      </c>
      <c r="AE28" s="123">
        <v>42293</v>
      </c>
      <c r="AF28" s="123">
        <v>42300</v>
      </c>
      <c r="AG28" s="123">
        <v>42307</v>
      </c>
      <c r="AH28" s="123">
        <v>42314</v>
      </c>
      <c r="AI28" s="123">
        <v>42321</v>
      </c>
      <c r="AJ28" s="123">
        <v>42327</v>
      </c>
      <c r="AK28" s="123">
        <v>42335</v>
      </c>
      <c r="AL28" s="123">
        <v>42342</v>
      </c>
      <c r="AM28" s="123">
        <v>42349</v>
      </c>
    </row>
    <row r="29" spans="1:857" ht="14.4">
      <c r="A29" s="130" t="str">
        <f>A3</f>
        <v>EX1</v>
      </c>
      <c r="B29" s="158">
        <v>1</v>
      </c>
      <c r="C29" s="158">
        <v>1</v>
      </c>
      <c r="D29" s="158">
        <v>1</v>
      </c>
      <c r="E29" s="161">
        <v>0</v>
      </c>
      <c r="F29" s="161">
        <v>0</v>
      </c>
      <c r="G29" s="163">
        <v>0</v>
      </c>
      <c r="H29" s="161">
        <v>0</v>
      </c>
      <c r="I29" s="163">
        <v>0</v>
      </c>
      <c r="J29" s="161">
        <v>0</v>
      </c>
      <c r="K29" s="161">
        <v>0</v>
      </c>
      <c r="L29" s="161">
        <v>0</v>
      </c>
      <c r="M29" s="161">
        <v>0</v>
      </c>
      <c r="N29" s="161">
        <v>0</v>
      </c>
      <c r="O29" s="161">
        <v>0</v>
      </c>
      <c r="P29" s="161">
        <v>0</v>
      </c>
      <c r="Q29" s="161">
        <v>0</v>
      </c>
      <c r="R29" s="161">
        <v>0</v>
      </c>
      <c r="S29" s="161">
        <v>0</v>
      </c>
      <c r="T29" s="161">
        <v>0</v>
      </c>
      <c r="U29" s="161">
        <v>0</v>
      </c>
      <c r="V29" s="161">
        <v>0</v>
      </c>
      <c r="W29" s="161">
        <v>0</v>
      </c>
      <c r="X29" s="161">
        <v>0</v>
      </c>
      <c r="Y29" s="161">
        <v>0</v>
      </c>
      <c r="Z29" s="161">
        <v>0</v>
      </c>
      <c r="AA29" s="161">
        <v>0</v>
      </c>
      <c r="AB29" s="163">
        <v>0</v>
      </c>
      <c r="AC29" s="161">
        <v>0</v>
      </c>
      <c r="AD29" s="163">
        <v>0</v>
      </c>
      <c r="AE29" s="163">
        <v>0</v>
      </c>
      <c r="AF29" s="161">
        <v>0</v>
      </c>
      <c r="AG29" s="161">
        <v>0</v>
      </c>
      <c r="AH29" s="161">
        <v>0</v>
      </c>
      <c r="AI29" s="161">
        <v>0</v>
      </c>
      <c r="AJ29" s="161">
        <v>0</v>
      </c>
      <c r="AK29" s="161">
        <v>0</v>
      </c>
      <c r="AL29" s="161">
        <v>0</v>
      </c>
      <c r="AM29" s="161">
        <v>0</v>
      </c>
    </row>
    <row r="30" spans="1:857" ht="14.4">
      <c r="A30" s="130" t="str">
        <f t="shared" ref="A30:A37" si="7">A4</f>
        <v>EX2</v>
      </c>
      <c r="B30" s="158">
        <v>1</v>
      </c>
      <c r="C30" s="158">
        <v>1</v>
      </c>
      <c r="D30" s="158">
        <v>1</v>
      </c>
      <c r="E30" s="161">
        <v>0</v>
      </c>
      <c r="F30" s="161">
        <v>0</v>
      </c>
      <c r="G30" s="158">
        <v>1</v>
      </c>
      <c r="H30" s="161">
        <v>0</v>
      </c>
      <c r="I30" s="163">
        <v>0</v>
      </c>
      <c r="J30" s="163">
        <v>0</v>
      </c>
      <c r="K30" s="161">
        <v>0</v>
      </c>
      <c r="L30" s="161">
        <v>0</v>
      </c>
      <c r="M30" s="161">
        <v>0</v>
      </c>
      <c r="N30" s="163">
        <v>0</v>
      </c>
      <c r="O30" s="163">
        <v>0</v>
      </c>
      <c r="P30" s="163">
        <v>0</v>
      </c>
      <c r="Q30" s="161">
        <v>0</v>
      </c>
      <c r="R30" s="163">
        <v>0</v>
      </c>
      <c r="S30" s="163">
        <v>0</v>
      </c>
      <c r="T30" s="161">
        <v>0</v>
      </c>
      <c r="U30" s="158">
        <v>1</v>
      </c>
      <c r="V30" s="163">
        <v>0</v>
      </c>
      <c r="W30" s="158">
        <v>1</v>
      </c>
      <c r="X30" s="163">
        <v>0</v>
      </c>
      <c r="Y30" s="163">
        <v>0</v>
      </c>
      <c r="Z30" s="158">
        <v>1</v>
      </c>
      <c r="AA30" s="161">
        <v>0</v>
      </c>
      <c r="AB30" s="161">
        <v>0</v>
      </c>
      <c r="AC30" s="161">
        <v>0</v>
      </c>
      <c r="AD30" s="158">
        <v>1</v>
      </c>
      <c r="AE30" s="158">
        <v>1</v>
      </c>
      <c r="AF30" s="158">
        <v>1</v>
      </c>
      <c r="AG30" s="161">
        <v>0</v>
      </c>
      <c r="AH30" s="163">
        <v>0</v>
      </c>
      <c r="AI30" s="163">
        <v>0</v>
      </c>
      <c r="AJ30" s="163">
        <v>0</v>
      </c>
      <c r="AK30" s="163">
        <v>0</v>
      </c>
      <c r="AL30" s="163">
        <v>0</v>
      </c>
      <c r="AM30" s="167">
        <v>0</v>
      </c>
    </row>
    <row r="31" spans="1:857" ht="14.4">
      <c r="A31" s="130" t="str">
        <f t="shared" si="7"/>
        <v>EX3</v>
      </c>
      <c r="B31" s="161">
        <v>0</v>
      </c>
      <c r="C31" s="161">
        <v>0</v>
      </c>
      <c r="D31" s="159">
        <v>0.5</v>
      </c>
      <c r="E31" s="161">
        <v>0</v>
      </c>
      <c r="F31" s="161">
        <v>0</v>
      </c>
      <c r="G31" s="161">
        <v>0</v>
      </c>
      <c r="H31" s="161">
        <v>0</v>
      </c>
      <c r="I31" s="161">
        <v>0</v>
      </c>
      <c r="J31" s="161">
        <v>0</v>
      </c>
      <c r="K31" s="161">
        <v>0</v>
      </c>
      <c r="L31" s="161">
        <v>0</v>
      </c>
      <c r="M31" s="161">
        <v>0</v>
      </c>
      <c r="N31" s="161">
        <v>0</v>
      </c>
      <c r="O31" s="161">
        <v>0</v>
      </c>
      <c r="P31" s="161">
        <v>0</v>
      </c>
      <c r="Q31" s="161">
        <v>0</v>
      </c>
      <c r="R31" s="161">
        <v>0</v>
      </c>
      <c r="S31" s="161">
        <v>0</v>
      </c>
      <c r="T31" s="158">
        <v>1</v>
      </c>
      <c r="U31" s="161">
        <v>0</v>
      </c>
      <c r="V31" s="161">
        <v>0</v>
      </c>
      <c r="W31" s="161">
        <v>0</v>
      </c>
      <c r="X31" s="161">
        <v>0</v>
      </c>
      <c r="Y31" s="161">
        <v>0</v>
      </c>
      <c r="Z31" s="161">
        <v>0</v>
      </c>
      <c r="AA31" s="161">
        <v>0</v>
      </c>
      <c r="AB31" s="161">
        <v>0</v>
      </c>
      <c r="AC31" s="161">
        <v>0</v>
      </c>
      <c r="AD31" s="161">
        <v>0</v>
      </c>
      <c r="AE31" s="161">
        <v>0</v>
      </c>
      <c r="AF31" s="161">
        <v>0</v>
      </c>
      <c r="AG31" s="161">
        <v>0</v>
      </c>
      <c r="AH31" s="161">
        <v>0</v>
      </c>
      <c r="AI31" s="161">
        <v>0</v>
      </c>
      <c r="AJ31" s="161">
        <v>0</v>
      </c>
      <c r="AK31" s="161">
        <v>0</v>
      </c>
      <c r="AL31" s="161">
        <v>0</v>
      </c>
      <c r="AM31" s="161">
        <v>0</v>
      </c>
    </row>
    <row r="32" spans="1:857" ht="14.4">
      <c r="A32" s="130" t="str">
        <f t="shared" si="7"/>
        <v>EX4</v>
      </c>
      <c r="B32" s="161">
        <v>0</v>
      </c>
      <c r="C32" s="161">
        <v>0</v>
      </c>
      <c r="D32" s="131"/>
      <c r="E32" s="161">
        <v>0</v>
      </c>
      <c r="F32" s="161">
        <v>0</v>
      </c>
      <c r="G32" s="161">
        <v>0</v>
      </c>
      <c r="H32" s="161">
        <v>0</v>
      </c>
      <c r="I32" s="163">
        <v>0</v>
      </c>
      <c r="J32" s="161">
        <v>0</v>
      </c>
      <c r="K32" s="161">
        <v>0</v>
      </c>
      <c r="L32" s="161">
        <v>0</v>
      </c>
      <c r="M32" s="161">
        <v>0</v>
      </c>
      <c r="N32" s="161">
        <v>0</v>
      </c>
      <c r="O32" s="161">
        <v>0</v>
      </c>
      <c r="P32" s="161">
        <v>0</v>
      </c>
      <c r="Q32" s="161">
        <v>0</v>
      </c>
      <c r="R32" s="161">
        <v>0</v>
      </c>
      <c r="S32" s="161">
        <v>0</v>
      </c>
      <c r="T32" s="161">
        <v>0</v>
      </c>
      <c r="U32" s="161">
        <v>0</v>
      </c>
      <c r="V32" s="161">
        <v>0</v>
      </c>
      <c r="W32" s="161">
        <v>0</v>
      </c>
      <c r="X32" s="161">
        <v>0</v>
      </c>
      <c r="Y32" s="161">
        <v>0</v>
      </c>
      <c r="Z32" s="161">
        <v>0</v>
      </c>
      <c r="AA32" s="161">
        <v>0</v>
      </c>
      <c r="AB32" s="161">
        <v>0</v>
      </c>
      <c r="AC32" s="161">
        <v>0</v>
      </c>
      <c r="AD32" s="161">
        <v>0</v>
      </c>
      <c r="AE32" s="161">
        <v>0</v>
      </c>
      <c r="AF32" s="161">
        <v>0</v>
      </c>
      <c r="AG32" s="163">
        <v>0</v>
      </c>
      <c r="AH32" s="161">
        <v>0</v>
      </c>
      <c r="AI32" s="161">
        <v>0</v>
      </c>
      <c r="AJ32" s="161">
        <v>0</v>
      </c>
      <c r="AK32" s="161">
        <v>0</v>
      </c>
      <c r="AL32" s="161">
        <v>0</v>
      </c>
      <c r="AM32" s="161">
        <v>0</v>
      </c>
    </row>
    <row r="33" spans="1:857" ht="14.4">
      <c r="A33" s="130" t="str">
        <f t="shared" si="7"/>
        <v>EX5</v>
      </c>
      <c r="B33" s="163">
        <v>0</v>
      </c>
      <c r="C33" s="161">
        <v>0</v>
      </c>
      <c r="D33" s="159">
        <v>0.5</v>
      </c>
      <c r="E33" s="163">
        <v>0</v>
      </c>
      <c r="F33" s="158">
        <v>1</v>
      </c>
      <c r="G33" s="163">
        <v>0</v>
      </c>
      <c r="H33" s="163">
        <v>0</v>
      </c>
      <c r="I33" s="161">
        <v>0</v>
      </c>
      <c r="J33" s="161">
        <v>0</v>
      </c>
      <c r="K33" s="161">
        <v>0</v>
      </c>
      <c r="L33" s="161">
        <v>0</v>
      </c>
      <c r="M33" s="161">
        <v>0</v>
      </c>
      <c r="N33" s="161">
        <v>0</v>
      </c>
      <c r="O33" s="161">
        <v>0</v>
      </c>
      <c r="P33" s="161">
        <v>0</v>
      </c>
      <c r="Q33" s="161">
        <v>0</v>
      </c>
      <c r="R33" s="161">
        <v>0</v>
      </c>
      <c r="S33" s="161">
        <v>0</v>
      </c>
      <c r="T33" s="161">
        <v>0</v>
      </c>
      <c r="U33" s="161">
        <v>0</v>
      </c>
      <c r="V33" s="161">
        <v>0</v>
      </c>
      <c r="W33" s="161">
        <v>0</v>
      </c>
      <c r="X33" s="161">
        <v>0</v>
      </c>
      <c r="Y33" s="163">
        <v>0</v>
      </c>
      <c r="Z33" s="158">
        <v>1</v>
      </c>
      <c r="AA33" s="161">
        <v>0</v>
      </c>
      <c r="AB33" s="161">
        <v>0</v>
      </c>
      <c r="AC33" s="163">
        <v>0</v>
      </c>
      <c r="AD33" s="161">
        <v>0</v>
      </c>
      <c r="AE33" s="161">
        <v>0</v>
      </c>
      <c r="AF33" s="161">
        <v>0</v>
      </c>
      <c r="AG33" s="161">
        <v>0</v>
      </c>
      <c r="AH33" s="161">
        <v>0</v>
      </c>
      <c r="AI33" s="161">
        <v>0</v>
      </c>
      <c r="AJ33" s="161">
        <v>0</v>
      </c>
      <c r="AK33" s="161">
        <v>0</v>
      </c>
      <c r="AL33" s="163">
        <v>0</v>
      </c>
      <c r="AM33" s="167">
        <v>1</v>
      </c>
    </row>
    <row r="34" spans="1:857" ht="14.4">
      <c r="A34" s="130" t="str">
        <f t="shared" si="7"/>
        <v>EX6</v>
      </c>
      <c r="B34" s="161">
        <v>0</v>
      </c>
      <c r="C34" s="163">
        <v>0</v>
      </c>
      <c r="D34" s="159">
        <v>0.5</v>
      </c>
      <c r="E34" s="161">
        <v>0</v>
      </c>
      <c r="F34" s="161">
        <v>0</v>
      </c>
      <c r="G34" s="158">
        <v>1</v>
      </c>
      <c r="H34" s="158">
        <v>1</v>
      </c>
      <c r="I34" s="163">
        <v>0</v>
      </c>
      <c r="J34" s="158">
        <v>1</v>
      </c>
      <c r="K34" s="163">
        <v>0</v>
      </c>
      <c r="L34" s="163">
        <v>0</v>
      </c>
      <c r="M34" s="161">
        <v>0</v>
      </c>
      <c r="N34" s="161">
        <v>0</v>
      </c>
      <c r="O34" s="161">
        <v>0</v>
      </c>
      <c r="P34" s="161">
        <v>0</v>
      </c>
      <c r="Q34" s="161">
        <v>0</v>
      </c>
      <c r="R34" s="161">
        <v>0</v>
      </c>
      <c r="S34" s="163">
        <v>0</v>
      </c>
      <c r="T34" s="163">
        <v>0</v>
      </c>
      <c r="U34" s="163">
        <v>0</v>
      </c>
      <c r="V34" s="163">
        <v>0</v>
      </c>
      <c r="W34" s="161">
        <v>0</v>
      </c>
      <c r="X34" s="163">
        <v>0</v>
      </c>
      <c r="Y34" s="163">
        <v>0</v>
      </c>
      <c r="Z34" s="161">
        <v>0</v>
      </c>
      <c r="AA34" s="163">
        <v>0</v>
      </c>
      <c r="AB34" s="163">
        <v>0</v>
      </c>
      <c r="AC34" s="163">
        <v>0</v>
      </c>
      <c r="AD34" s="161">
        <v>0</v>
      </c>
      <c r="AE34" s="163">
        <v>0</v>
      </c>
      <c r="AF34" s="163">
        <v>0</v>
      </c>
      <c r="AG34" s="158">
        <v>1</v>
      </c>
      <c r="AH34" s="158">
        <v>1</v>
      </c>
      <c r="AI34" s="161">
        <v>0</v>
      </c>
      <c r="AJ34" s="163">
        <v>0</v>
      </c>
      <c r="AK34" s="163">
        <v>0</v>
      </c>
      <c r="AL34" s="161">
        <v>0</v>
      </c>
      <c r="AM34" s="167">
        <v>1</v>
      </c>
    </row>
    <row r="35" spans="1:857" ht="14.4" hidden="1">
      <c r="A35" s="130" t="str">
        <f t="shared" si="7"/>
        <v>SA</v>
      </c>
      <c r="B35" s="163">
        <v>0</v>
      </c>
      <c r="C35" s="163">
        <v>0</v>
      </c>
      <c r="D35" s="163">
        <v>0</v>
      </c>
      <c r="E35" s="161">
        <v>0</v>
      </c>
      <c r="F35" s="161">
        <v>0</v>
      </c>
      <c r="G35" s="161">
        <v>0</v>
      </c>
      <c r="H35" s="161">
        <v>0</v>
      </c>
      <c r="I35" s="161">
        <v>0</v>
      </c>
      <c r="J35" s="161">
        <v>0</v>
      </c>
      <c r="K35" s="161">
        <v>0</v>
      </c>
      <c r="L35" s="161">
        <v>0</v>
      </c>
      <c r="M35" s="161">
        <v>0</v>
      </c>
      <c r="N35" s="161">
        <v>0</v>
      </c>
      <c r="O35" s="161">
        <v>0</v>
      </c>
      <c r="P35" s="161">
        <v>0</v>
      </c>
      <c r="Q35" s="161">
        <v>0</v>
      </c>
      <c r="R35" s="161">
        <v>0</v>
      </c>
      <c r="S35" s="161">
        <v>0</v>
      </c>
      <c r="T35" s="161">
        <v>0</v>
      </c>
      <c r="U35" s="161">
        <v>0</v>
      </c>
      <c r="V35" s="161">
        <v>0</v>
      </c>
      <c r="W35" s="161">
        <v>0</v>
      </c>
      <c r="X35" s="161">
        <v>0</v>
      </c>
      <c r="Y35" s="161">
        <v>0</v>
      </c>
      <c r="Z35" s="161">
        <v>0</v>
      </c>
      <c r="AA35" s="163">
        <v>0</v>
      </c>
      <c r="AB35" s="161">
        <v>0</v>
      </c>
      <c r="AC35" s="161">
        <v>0</v>
      </c>
      <c r="AD35" s="161">
        <v>0</v>
      </c>
      <c r="AE35" s="161">
        <v>0</v>
      </c>
      <c r="AF35" s="161">
        <v>0</v>
      </c>
      <c r="AG35" s="161">
        <v>0</v>
      </c>
      <c r="AH35" s="161">
        <v>0</v>
      </c>
      <c r="AI35" s="161">
        <v>0</v>
      </c>
      <c r="AJ35" s="161">
        <v>0</v>
      </c>
      <c r="AK35" s="161">
        <v>0</v>
      </c>
      <c r="AL35" s="161">
        <v>0</v>
      </c>
      <c r="AM35" s="161">
        <v>0</v>
      </c>
    </row>
    <row r="36" spans="1:857" ht="14.4">
      <c r="A36" s="130" t="str">
        <f t="shared" si="7"/>
        <v>EX7</v>
      </c>
      <c r="B36" s="161">
        <v>0</v>
      </c>
      <c r="C36" s="161">
        <v>0</v>
      </c>
      <c r="D36" s="161">
        <v>0</v>
      </c>
      <c r="E36" s="161">
        <v>0</v>
      </c>
      <c r="F36" s="161">
        <v>0</v>
      </c>
      <c r="G36" s="161">
        <v>0</v>
      </c>
      <c r="H36" s="161">
        <v>0</v>
      </c>
      <c r="I36" s="159">
        <v>0.5</v>
      </c>
      <c r="J36" s="161">
        <v>0</v>
      </c>
      <c r="K36" s="163">
        <v>0</v>
      </c>
      <c r="L36" s="161">
        <v>0</v>
      </c>
      <c r="M36" s="161">
        <v>0</v>
      </c>
      <c r="N36" s="161">
        <v>0</v>
      </c>
      <c r="O36" s="161">
        <v>0</v>
      </c>
      <c r="P36" s="163">
        <v>0</v>
      </c>
      <c r="Q36" s="161">
        <v>0</v>
      </c>
      <c r="R36" s="163">
        <v>0</v>
      </c>
      <c r="S36" s="163">
        <v>0</v>
      </c>
      <c r="T36" s="161">
        <v>0</v>
      </c>
      <c r="U36" s="161">
        <v>0</v>
      </c>
      <c r="V36" s="163">
        <v>0</v>
      </c>
      <c r="W36" s="163">
        <v>0</v>
      </c>
      <c r="X36" s="161">
        <v>0</v>
      </c>
      <c r="Y36" s="161">
        <v>0</v>
      </c>
      <c r="Z36" s="163">
        <v>0</v>
      </c>
      <c r="AA36" s="163">
        <v>0</v>
      </c>
      <c r="AB36" s="163">
        <v>0</v>
      </c>
      <c r="AC36" s="161">
        <v>0</v>
      </c>
      <c r="AD36" s="161">
        <v>0</v>
      </c>
      <c r="AE36" s="158">
        <v>1</v>
      </c>
      <c r="AF36" s="163">
        <v>0</v>
      </c>
      <c r="AG36" s="163">
        <v>0</v>
      </c>
      <c r="AH36" s="163">
        <v>0</v>
      </c>
      <c r="AI36" s="163">
        <v>0</v>
      </c>
      <c r="AJ36" s="158">
        <v>1</v>
      </c>
      <c r="AK36" s="163">
        <v>0</v>
      </c>
      <c r="AL36" s="158">
        <v>1</v>
      </c>
      <c r="AM36" s="167">
        <v>1</v>
      </c>
    </row>
    <row r="37" spans="1:857" ht="14.4">
      <c r="A37" s="130" t="str">
        <f t="shared" si="7"/>
        <v>EX8</v>
      </c>
      <c r="B37" s="161">
        <v>0</v>
      </c>
      <c r="C37" s="161">
        <v>0</v>
      </c>
      <c r="D37" s="161">
        <v>0</v>
      </c>
      <c r="E37" s="161">
        <v>0</v>
      </c>
      <c r="F37" s="161">
        <v>0</v>
      </c>
      <c r="G37" s="161">
        <v>0</v>
      </c>
      <c r="H37" s="161">
        <v>0</v>
      </c>
      <c r="I37" s="163">
        <v>0</v>
      </c>
      <c r="J37" s="161">
        <v>0</v>
      </c>
      <c r="K37" s="161">
        <v>0</v>
      </c>
      <c r="L37" s="161">
        <v>0</v>
      </c>
      <c r="M37" s="161">
        <v>0</v>
      </c>
      <c r="N37" s="161">
        <v>0</v>
      </c>
      <c r="O37" s="161">
        <v>0</v>
      </c>
      <c r="P37" s="161">
        <v>0</v>
      </c>
      <c r="Q37" s="161">
        <v>0</v>
      </c>
      <c r="R37" s="161">
        <v>0</v>
      </c>
      <c r="S37" s="161">
        <v>0</v>
      </c>
      <c r="T37" s="161">
        <v>0</v>
      </c>
      <c r="U37" s="161">
        <v>0</v>
      </c>
      <c r="V37" s="161">
        <v>0</v>
      </c>
      <c r="W37" s="161">
        <v>0</v>
      </c>
      <c r="X37" s="161">
        <v>0</v>
      </c>
      <c r="Y37" s="161">
        <v>0</v>
      </c>
      <c r="Z37" s="161">
        <v>0</v>
      </c>
      <c r="AA37" s="163">
        <v>0</v>
      </c>
      <c r="AB37" s="161">
        <v>0</v>
      </c>
      <c r="AC37" s="161">
        <v>0</v>
      </c>
      <c r="AD37" s="161">
        <v>0</v>
      </c>
      <c r="AE37" s="158">
        <v>1</v>
      </c>
      <c r="AF37" s="161">
        <v>0</v>
      </c>
      <c r="AG37" s="161">
        <v>0</v>
      </c>
      <c r="AH37" s="161">
        <v>0</v>
      </c>
      <c r="AI37" s="158">
        <v>1</v>
      </c>
      <c r="AJ37" s="161">
        <v>0</v>
      </c>
      <c r="AK37" s="163">
        <v>0</v>
      </c>
      <c r="AL37" s="161">
        <v>0</v>
      </c>
      <c r="AM37" s="161">
        <v>0</v>
      </c>
    </row>
    <row r="38" spans="1:857" s="18" customFormat="1">
      <c r="B38" s="160">
        <f t="shared" ref="B38:V38" si="8">SUM(B29:B37)</f>
        <v>2</v>
      </c>
      <c r="C38" s="160">
        <f t="shared" si="8"/>
        <v>2</v>
      </c>
      <c r="D38" s="160">
        <f t="shared" si="8"/>
        <v>3.5</v>
      </c>
      <c r="E38" s="160">
        <f t="shared" si="8"/>
        <v>0</v>
      </c>
      <c r="F38" s="160">
        <f t="shared" si="8"/>
        <v>1</v>
      </c>
      <c r="G38" s="160">
        <f t="shared" si="8"/>
        <v>2</v>
      </c>
      <c r="H38" s="160">
        <f t="shared" si="8"/>
        <v>1</v>
      </c>
      <c r="I38" s="160">
        <f t="shared" si="8"/>
        <v>0.5</v>
      </c>
      <c r="J38" s="160">
        <f t="shared" si="8"/>
        <v>1</v>
      </c>
      <c r="K38" s="160">
        <f t="shared" si="8"/>
        <v>0</v>
      </c>
      <c r="L38" s="160">
        <f t="shared" si="8"/>
        <v>0</v>
      </c>
      <c r="M38" s="160">
        <f t="shared" si="8"/>
        <v>0</v>
      </c>
      <c r="N38" s="160">
        <f t="shared" si="8"/>
        <v>0</v>
      </c>
      <c r="O38" s="160">
        <f t="shared" si="8"/>
        <v>0</v>
      </c>
      <c r="P38" s="160">
        <f t="shared" si="8"/>
        <v>0</v>
      </c>
      <c r="Q38" s="160">
        <f t="shared" si="8"/>
        <v>0</v>
      </c>
      <c r="R38" s="160">
        <f t="shared" si="8"/>
        <v>0</v>
      </c>
      <c r="S38" s="160">
        <f t="shared" si="8"/>
        <v>0</v>
      </c>
      <c r="T38" s="160">
        <f t="shared" si="8"/>
        <v>1</v>
      </c>
      <c r="U38" s="160">
        <f t="shared" si="8"/>
        <v>1</v>
      </c>
      <c r="V38" s="160">
        <f t="shared" si="8"/>
        <v>0</v>
      </c>
      <c r="W38" s="160">
        <f t="shared" ref="W38:X38" si="9">SUM(W29:W37)</f>
        <v>1</v>
      </c>
      <c r="X38" s="160">
        <f t="shared" si="9"/>
        <v>0</v>
      </c>
      <c r="Y38" s="160">
        <f t="shared" ref="Y38:Z38" si="10">SUM(Y29:Y37)</f>
        <v>0</v>
      </c>
      <c r="Z38" s="160">
        <f t="shared" si="10"/>
        <v>2</v>
      </c>
      <c r="AA38" s="160">
        <f t="shared" ref="AA38:AB38" si="11">SUM(AA29:AA37)</f>
        <v>0</v>
      </c>
      <c r="AB38" s="160">
        <f t="shared" si="11"/>
        <v>0</v>
      </c>
      <c r="AC38" s="160">
        <f t="shared" ref="AC38:AD38" si="12">SUM(AC29:AC37)</f>
        <v>0</v>
      </c>
      <c r="AD38" s="160">
        <f t="shared" si="12"/>
        <v>1</v>
      </c>
      <c r="AE38" s="160">
        <f t="shared" ref="AE38:AG38" si="13">SUM(AE29:AE37)</f>
        <v>3</v>
      </c>
      <c r="AF38" s="160">
        <f t="shared" si="13"/>
        <v>1</v>
      </c>
      <c r="AG38" s="160">
        <f t="shared" si="13"/>
        <v>1</v>
      </c>
      <c r="AH38" s="160">
        <f t="shared" ref="AH38:AI38" si="14">SUM(AH29:AH37)</f>
        <v>1</v>
      </c>
      <c r="AI38" s="160">
        <f t="shared" si="14"/>
        <v>1</v>
      </c>
      <c r="AJ38" s="160">
        <f t="shared" ref="AJ38:AK38" si="15">SUM(AJ29:AJ37)</f>
        <v>1</v>
      </c>
      <c r="AK38" s="160">
        <f t="shared" si="15"/>
        <v>0</v>
      </c>
      <c r="AL38" s="160">
        <f t="shared" ref="AL38:AM38" si="16">SUM(AL29:AL37)</f>
        <v>1</v>
      </c>
      <c r="AM38" s="160">
        <f t="shared" si="16"/>
        <v>3</v>
      </c>
      <c r="AN38" s="160"/>
      <c r="AO38" s="160"/>
      <c r="AP38" s="160"/>
      <c r="AQ38" s="160"/>
      <c r="AR38" s="160"/>
      <c r="AS38" s="160"/>
      <c r="AT38" s="160"/>
      <c r="AU38" s="160"/>
      <c r="AV38" s="160"/>
      <c r="AW38" s="160"/>
      <c r="AX38" s="160"/>
      <c r="AY38" s="160"/>
      <c r="AZ38" s="160"/>
      <c r="BA38" s="160"/>
      <c r="BB38" s="160"/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0"/>
      <c r="CO38" s="160"/>
      <c r="CP38" s="160"/>
      <c r="CQ38" s="160"/>
      <c r="CR38" s="160"/>
      <c r="CS38" s="160"/>
      <c r="CT38" s="160"/>
      <c r="CU38" s="160"/>
      <c r="CV38" s="160"/>
      <c r="CW38" s="160"/>
      <c r="CX38" s="160"/>
      <c r="CY38" s="160"/>
      <c r="CZ38" s="160"/>
      <c r="DA38" s="160"/>
      <c r="DB38" s="160"/>
      <c r="DC38" s="160"/>
      <c r="DD38" s="160"/>
      <c r="DE38" s="160"/>
      <c r="DF38" s="160"/>
      <c r="DG38" s="160"/>
      <c r="DH38" s="160"/>
      <c r="DI38" s="160"/>
      <c r="DJ38" s="160"/>
      <c r="DK38" s="160"/>
      <c r="DL38" s="160"/>
      <c r="DM38" s="160"/>
      <c r="DN38" s="160"/>
      <c r="DO38" s="160"/>
      <c r="DP38" s="160"/>
      <c r="DQ38" s="160"/>
      <c r="DR38" s="160"/>
      <c r="DS38" s="160"/>
      <c r="DT38" s="160"/>
      <c r="DU38" s="160"/>
      <c r="DV38" s="160"/>
      <c r="DW38" s="160"/>
      <c r="DX38" s="160"/>
      <c r="DY38" s="160"/>
      <c r="DZ38" s="160"/>
      <c r="EA38" s="160"/>
      <c r="EB38" s="160"/>
      <c r="EC38" s="160"/>
      <c r="ED38" s="160"/>
      <c r="EE38" s="160"/>
      <c r="EF38" s="160"/>
      <c r="EG38" s="160"/>
      <c r="EH38" s="160"/>
      <c r="EI38" s="160"/>
      <c r="EJ38" s="160"/>
      <c r="EK38" s="160"/>
      <c r="EL38" s="160"/>
      <c r="EM38" s="160"/>
      <c r="EN38" s="160"/>
      <c r="EO38" s="160"/>
      <c r="EP38" s="160"/>
      <c r="EQ38" s="160"/>
      <c r="ER38" s="160"/>
      <c r="ES38" s="160"/>
      <c r="ET38" s="160"/>
      <c r="EU38" s="160"/>
      <c r="EV38" s="160"/>
      <c r="EW38" s="160"/>
      <c r="EX38" s="160"/>
      <c r="EY38" s="160"/>
      <c r="EZ38" s="160"/>
      <c r="FA38" s="160"/>
      <c r="FB38" s="160"/>
      <c r="FC38" s="160"/>
      <c r="FD38" s="160"/>
      <c r="FE38" s="160"/>
      <c r="FF38" s="160"/>
      <c r="FG38" s="160"/>
      <c r="FH38" s="160"/>
      <c r="FI38" s="160"/>
      <c r="FJ38" s="160"/>
      <c r="FK38" s="160"/>
      <c r="FL38" s="160"/>
      <c r="FM38" s="160"/>
      <c r="FN38" s="160"/>
      <c r="FO38" s="160"/>
      <c r="FP38" s="160"/>
      <c r="FQ38" s="160"/>
      <c r="FR38" s="160"/>
      <c r="FS38" s="160"/>
      <c r="FT38" s="160"/>
      <c r="FU38" s="160"/>
      <c r="FV38" s="160"/>
      <c r="FW38" s="160"/>
      <c r="FX38" s="160"/>
      <c r="FY38" s="160"/>
      <c r="FZ38" s="160"/>
      <c r="GA38" s="160"/>
      <c r="GB38" s="160"/>
      <c r="GC38" s="160"/>
      <c r="GD38" s="160"/>
      <c r="GE38" s="160"/>
      <c r="GF38" s="160"/>
      <c r="GG38" s="160"/>
      <c r="GH38" s="160"/>
      <c r="GI38" s="160"/>
      <c r="GJ38" s="160"/>
      <c r="GK38" s="160"/>
      <c r="GL38" s="160"/>
      <c r="GM38" s="160"/>
      <c r="GN38" s="160"/>
      <c r="GO38" s="160"/>
      <c r="GP38" s="160"/>
      <c r="GQ38" s="160"/>
      <c r="GR38" s="160"/>
      <c r="GS38" s="160"/>
      <c r="GT38" s="160"/>
      <c r="GU38" s="160"/>
      <c r="GV38" s="160"/>
      <c r="GW38" s="160"/>
      <c r="GX38" s="160"/>
      <c r="GY38" s="160"/>
      <c r="GZ38" s="160"/>
      <c r="HA38" s="160"/>
      <c r="HB38" s="160"/>
      <c r="HC38" s="160"/>
      <c r="HD38" s="160"/>
      <c r="HE38" s="160"/>
      <c r="HF38" s="160"/>
      <c r="HG38" s="160"/>
      <c r="HH38" s="160"/>
      <c r="HI38" s="160"/>
      <c r="HJ38" s="160"/>
      <c r="HK38" s="160"/>
      <c r="HL38" s="160"/>
      <c r="HM38" s="160"/>
      <c r="HN38" s="160"/>
      <c r="HO38" s="160"/>
      <c r="HP38" s="160"/>
      <c r="HQ38" s="160"/>
      <c r="HR38" s="160"/>
      <c r="HS38" s="160"/>
      <c r="HT38" s="160"/>
      <c r="HU38" s="160"/>
      <c r="HV38" s="160"/>
      <c r="HW38" s="160"/>
      <c r="HX38" s="160"/>
      <c r="HY38" s="160"/>
      <c r="HZ38" s="160"/>
      <c r="IA38" s="160"/>
      <c r="IB38" s="160"/>
      <c r="IC38" s="160"/>
      <c r="ID38" s="160"/>
      <c r="IE38" s="160"/>
      <c r="IF38" s="160"/>
      <c r="IG38" s="160"/>
      <c r="IH38" s="160"/>
      <c r="II38" s="160"/>
      <c r="IJ38" s="160"/>
      <c r="IK38" s="160"/>
      <c r="IL38" s="160"/>
      <c r="IM38" s="160"/>
      <c r="IN38" s="160"/>
      <c r="IO38" s="160"/>
      <c r="IP38" s="160"/>
      <c r="IQ38" s="160"/>
      <c r="IR38" s="160"/>
      <c r="IS38" s="160"/>
      <c r="IT38" s="160"/>
      <c r="IU38" s="160"/>
      <c r="IV38" s="160"/>
      <c r="IW38" s="160"/>
      <c r="IX38" s="160"/>
      <c r="IY38" s="160"/>
      <c r="IZ38" s="160"/>
      <c r="JA38" s="160"/>
      <c r="JB38" s="160"/>
      <c r="JC38" s="160"/>
      <c r="JD38" s="160"/>
      <c r="JE38" s="160"/>
      <c r="JF38" s="160"/>
      <c r="JG38" s="160"/>
      <c r="JH38" s="160"/>
      <c r="JI38" s="160"/>
      <c r="JJ38" s="160"/>
      <c r="JK38" s="160"/>
      <c r="JL38" s="160"/>
      <c r="JM38" s="160"/>
      <c r="JN38" s="160"/>
      <c r="JO38" s="160"/>
      <c r="JP38" s="160"/>
      <c r="JQ38" s="160"/>
      <c r="JR38" s="160"/>
      <c r="JS38" s="160"/>
      <c r="JT38" s="160"/>
      <c r="JU38" s="160"/>
      <c r="JV38" s="160"/>
      <c r="JW38" s="160"/>
      <c r="JX38" s="160"/>
      <c r="JY38" s="160"/>
      <c r="JZ38" s="160"/>
      <c r="KA38" s="160"/>
      <c r="KB38" s="160"/>
      <c r="KC38" s="160"/>
      <c r="KD38" s="160"/>
      <c r="KE38" s="160"/>
      <c r="KF38" s="160"/>
      <c r="KG38" s="160"/>
      <c r="KH38" s="160"/>
      <c r="KI38" s="160"/>
      <c r="KJ38" s="160"/>
      <c r="KK38" s="160"/>
      <c r="KL38" s="160"/>
      <c r="KM38" s="160"/>
      <c r="KN38" s="160"/>
      <c r="KO38" s="160"/>
      <c r="KP38" s="160"/>
      <c r="KQ38" s="160"/>
      <c r="KR38" s="160"/>
      <c r="KS38" s="160"/>
      <c r="KT38" s="160"/>
      <c r="KU38" s="160"/>
      <c r="KV38" s="160"/>
      <c r="KW38" s="160"/>
      <c r="KX38" s="160"/>
      <c r="KY38" s="160"/>
      <c r="KZ38" s="160"/>
      <c r="LA38" s="160"/>
      <c r="LB38" s="160"/>
      <c r="LC38" s="160"/>
      <c r="LD38" s="160"/>
      <c r="LE38" s="160"/>
      <c r="LF38" s="160"/>
      <c r="LG38" s="160"/>
      <c r="LH38" s="160"/>
      <c r="LI38" s="160"/>
      <c r="LJ38" s="160"/>
      <c r="LK38" s="160"/>
      <c r="LL38" s="160"/>
      <c r="LM38" s="160"/>
      <c r="LN38" s="160"/>
      <c r="LO38" s="160"/>
      <c r="LP38" s="160"/>
      <c r="LQ38" s="160"/>
      <c r="LR38" s="160"/>
      <c r="LS38" s="160"/>
      <c r="LT38" s="160"/>
      <c r="LU38" s="160"/>
      <c r="LV38" s="160"/>
      <c r="LW38" s="160"/>
      <c r="LX38" s="160"/>
      <c r="LY38" s="160"/>
      <c r="LZ38" s="160"/>
      <c r="MA38" s="160"/>
      <c r="MB38" s="160"/>
      <c r="MC38" s="160"/>
      <c r="MD38" s="160"/>
      <c r="ME38" s="160"/>
      <c r="MF38" s="160"/>
      <c r="MG38" s="160"/>
      <c r="MH38" s="160"/>
      <c r="MI38" s="160"/>
      <c r="MJ38" s="160"/>
      <c r="MK38" s="160"/>
      <c r="ML38" s="160"/>
      <c r="MM38" s="160"/>
      <c r="MN38" s="160"/>
      <c r="MO38" s="160"/>
      <c r="MP38" s="160"/>
      <c r="MQ38" s="160"/>
      <c r="MR38" s="160"/>
      <c r="MS38" s="160"/>
      <c r="MT38" s="160"/>
      <c r="MU38" s="160"/>
      <c r="MV38" s="160"/>
      <c r="MW38" s="160"/>
      <c r="MX38" s="160"/>
      <c r="MY38" s="160"/>
      <c r="MZ38" s="160"/>
      <c r="NA38" s="160"/>
      <c r="NB38" s="160"/>
      <c r="NC38" s="160"/>
      <c r="ND38" s="160"/>
      <c r="NE38" s="160"/>
      <c r="NF38" s="160"/>
      <c r="NG38" s="160"/>
      <c r="NH38" s="160"/>
      <c r="NI38" s="160"/>
      <c r="NJ38" s="160"/>
      <c r="NK38" s="160"/>
      <c r="NL38" s="160"/>
      <c r="NM38" s="160"/>
      <c r="NN38" s="160"/>
      <c r="NO38" s="160"/>
      <c r="NP38" s="160"/>
      <c r="NQ38" s="160"/>
      <c r="NR38" s="160"/>
      <c r="NS38" s="160"/>
      <c r="NT38" s="160"/>
      <c r="NU38" s="160"/>
      <c r="NV38" s="160"/>
      <c r="NW38" s="160"/>
      <c r="NX38" s="160"/>
      <c r="NY38" s="160"/>
      <c r="NZ38" s="160"/>
      <c r="OA38" s="160"/>
      <c r="OB38" s="160"/>
      <c r="OC38" s="160"/>
      <c r="OD38" s="160"/>
      <c r="OE38" s="160"/>
      <c r="OF38" s="160"/>
      <c r="OG38" s="160"/>
      <c r="OH38" s="160"/>
      <c r="OI38" s="160"/>
      <c r="OJ38" s="160"/>
      <c r="OK38" s="160"/>
      <c r="OL38" s="160"/>
      <c r="OM38" s="160"/>
      <c r="ON38" s="160"/>
      <c r="OO38" s="160"/>
      <c r="OP38" s="160"/>
      <c r="OQ38" s="160"/>
      <c r="OR38" s="160"/>
      <c r="OS38" s="160"/>
      <c r="OT38" s="160"/>
      <c r="OU38" s="160"/>
      <c r="OV38" s="160"/>
      <c r="OW38" s="160"/>
      <c r="OX38" s="160"/>
      <c r="OY38" s="160"/>
      <c r="OZ38" s="160"/>
      <c r="PA38" s="160"/>
      <c r="PB38" s="160"/>
      <c r="PC38" s="160"/>
      <c r="PD38" s="160"/>
      <c r="PE38" s="160"/>
      <c r="PF38" s="160"/>
      <c r="PG38" s="160"/>
      <c r="PH38" s="160"/>
      <c r="PI38" s="160"/>
      <c r="PJ38" s="160"/>
      <c r="PK38" s="160"/>
      <c r="PL38" s="160"/>
      <c r="PM38" s="160"/>
      <c r="PN38" s="160"/>
      <c r="PO38" s="160"/>
      <c r="PP38" s="160"/>
      <c r="PQ38" s="160"/>
      <c r="PR38" s="160"/>
      <c r="PS38" s="160"/>
      <c r="PT38" s="160"/>
      <c r="PU38" s="160"/>
      <c r="PV38" s="160"/>
      <c r="PW38" s="160"/>
      <c r="PX38" s="160"/>
      <c r="PY38" s="160"/>
      <c r="PZ38" s="160"/>
      <c r="QA38" s="160"/>
      <c r="QB38" s="160"/>
      <c r="QC38" s="160"/>
      <c r="QD38" s="160"/>
      <c r="QE38" s="160"/>
      <c r="QF38" s="160"/>
      <c r="QG38" s="160"/>
      <c r="QH38" s="160"/>
      <c r="QI38" s="160"/>
      <c r="QJ38" s="160"/>
      <c r="QK38" s="160"/>
      <c r="QL38" s="160"/>
      <c r="QM38" s="160"/>
      <c r="QN38" s="160"/>
      <c r="QO38" s="160"/>
      <c r="QP38" s="160"/>
      <c r="QQ38" s="160"/>
      <c r="QR38" s="160"/>
      <c r="QS38" s="160"/>
      <c r="QT38" s="160"/>
      <c r="QU38" s="160"/>
      <c r="QV38" s="160"/>
      <c r="QW38" s="160"/>
      <c r="QX38" s="160"/>
      <c r="QY38" s="160"/>
      <c r="QZ38" s="160"/>
      <c r="RA38" s="160"/>
      <c r="RB38" s="160"/>
      <c r="RC38" s="160"/>
      <c r="RD38" s="160"/>
      <c r="RE38" s="160"/>
      <c r="RF38" s="160"/>
      <c r="RG38" s="160"/>
      <c r="RH38" s="160"/>
      <c r="RI38" s="160"/>
      <c r="RJ38" s="160"/>
      <c r="RK38" s="160"/>
      <c r="RL38" s="160"/>
      <c r="RM38" s="160"/>
      <c r="RN38" s="160"/>
      <c r="RO38" s="160"/>
      <c r="RP38" s="160"/>
      <c r="RQ38" s="160"/>
      <c r="RR38" s="160"/>
      <c r="RS38" s="160"/>
      <c r="RT38" s="160"/>
      <c r="RU38" s="160"/>
      <c r="RV38" s="160"/>
      <c r="RW38" s="160"/>
      <c r="RX38" s="160"/>
      <c r="RY38" s="160"/>
      <c r="RZ38" s="160"/>
      <c r="SA38" s="160"/>
      <c r="SB38" s="160"/>
      <c r="SC38" s="160"/>
      <c r="SD38" s="160"/>
      <c r="SE38" s="160"/>
      <c r="SF38" s="160"/>
      <c r="SG38" s="160"/>
      <c r="SH38" s="160"/>
      <c r="SI38" s="160"/>
      <c r="SJ38" s="160"/>
      <c r="SK38" s="160"/>
      <c r="SL38" s="160"/>
      <c r="SM38" s="160"/>
      <c r="SN38" s="160"/>
      <c r="SO38" s="160"/>
      <c r="SP38" s="160"/>
      <c r="SQ38" s="160"/>
      <c r="SR38" s="160"/>
      <c r="SS38" s="160"/>
      <c r="ST38" s="160"/>
      <c r="SU38" s="160"/>
      <c r="SV38" s="160"/>
      <c r="SW38" s="160"/>
      <c r="SX38" s="160"/>
      <c r="SY38" s="160"/>
      <c r="SZ38" s="160"/>
      <c r="TA38" s="160"/>
      <c r="TB38" s="160"/>
      <c r="TC38" s="160"/>
      <c r="TD38" s="160"/>
      <c r="TE38" s="160"/>
      <c r="TF38" s="160"/>
      <c r="TG38" s="160"/>
      <c r="TH38" s="160"/>
      <c r="TI38" s="160"/>
      <c r="TJ38" s="160"/>
      <c r="TK38" s="160"/>
      <c r="TL38" s="160"/>
      <c r="TM38" s="160"/>
      <c r="TN38" s="160"/>
      <c r="TO38" s="160"/>
      <c r="TP38" s="160"/>
      <c r="TQ38" s="160"/>
      <c r="TR38" s="160"/>
      <c r="TS38" s="160"/>
      <c r="TT38" s="160"/>
      <c r="TU38" s="160"/>
      <c r="TV38" s="160"/>
      <c r="TW38" s="160"/>
      <c r="TX38" s="160"/>
      <c r="TY38" s="160"/>
      <c r="TZ38" s="160"/>
      <c r="UA38" s="160"/>
      <c r="UB38" s="160"/>
      <c r="UC38" s="160"/>
      <c r="UD38" s="160"/>
      <c r="UE38" s="160"/>
      <c r="UF38" s="160"/>
      <c r="UG38" s="160"/>
      <c r="UH38" s="160"/>
      <c r="UI38" s="160"/>
      <c r="UJ38" s="160"/>
      <c r="UK38" s="160"/>
      <c r="UL38" s="160"/>
      <c r="UM38" s="160"/>
      <c r="UN38" s="160"/>
      <c r="UO38" s="160"/>
      <c r="UP38" s="160"/>
      <c r="UQ38" s="160"/>
      <c r="UR38" s="160"/>
      <c r="US38" s="160"/>
      <c r="UT38" s="160"/>
      <c r="UU38" s="160"/>
      <c r="UV38" s="160"/>
      <c r="UW38" s="160"/>
      <c r="UX38" s="160"/>
      <c r="UY38" s="160"/>
      <c r="UZ38" s="160"/>
      <c r="VA38" s="160"/>
      <c r="VB38" s="160"/>
      <c r="VC38" s="160"/>
      <c r="VD38" s="160"/>
      <c r="VE38" s="160"/>
      <c r="VF38" s="160"/>
      <c r="VG38" s="160"/>
      <c r="VH38" s="160"/>
      <c r="VI38" s="160"/>
      <c r="VJ38" s="160"/>
      <c r="VK38" s="160"/>
      <c r="VL38" s="160"/>
      <c r="VM38" s="160"/>
      <c r="VN38" s="160"/>
      <c r="VO38" s="160"/>
      <c r="VP38" s="160"/>
      <c r="VQ38" s="160"/>
      <c r="VR38" s="160"/>
      <c r="VS38" s="160"/>
      <c r="VT38" s="160"/>
      <c r="VU38" s="160"/>
      <c r="VV38" s="160"/>
      <c r="VW38" s="160"/>
      <c r="VX38" s="160"/>
      <c r="VY38" s="160"/>
      <c r="VZ38" s="160"/>
      <c r="WA38" s="160"/>
      <c r="WB38" s="160"/>
      <c r="WC38" s="160"/>
      <c r="WD38" s="160"/>
      <c r="WE38" s="160"/>
      <c r="WF38" s="160"/>
      <c r="WG38" s="160"/>
      <c r="WH38" s="160"/>
      <c r="WI38" s="160"/>
      <c r="WJ38" s="160"/>
      <c r="WK38" s="160"/>
      <c r="WL38" s="160"/>
      <c r="WM38" s="160"/>
      <c r="WN38" s="160"/>
      <c r="WO38" s="160"/>
      <c r="WP38" s="160"/>
      <c r="WQ38" s="160"/>
      <c r="WR38" s="160"/>
      <c r="WS38" s="160"/>
      <c r="WT38" s="160"/>
      <c r="WU38" s="160"/>
      <c r="WV38" s="160"/>
      <c r="WW38" s="160"/>
      <c r="WX38" s="160"/>
      <c r="WY38" s="160"/>
      <c r="WZ38" s="160"/>
      <c r="XA38" s="160"/>
      <c r="XB38" s="160"/>
      <c r="XC38" s="160"/>
      <c r="XD38" s="160"/>
      <c r="XE38" s="160"/>
      <c r="XF38" s="160"/>
      <c r="XG38" s="160"/>
      <c r="XH38" s="160"/>
      <c r="XI38" s="160"/>
      <c r="XJ38" s="160"/>
      <c r="XK38" s="160"/>
      <c r="XL38" s="160"/>
      <c r="XM38" s="160"/>
      <c r="XN38" s="160"/>
      <c r="XO38" s="160"/>
      <c r="XP38" s="160"/>
      <c r="XQ38" s="160"/>
      <c r="XR38" s="160"/>
      <c r="XS38" s="160"/>
      <c r="XT38" s="160"/>
      <c r="XU38" s="160"/>
      <c r="XV38" s="160"/>
      <c r="XW38" s="160"/>
      <c r="XX38" s="160"/>
      <c r="XY38" s="160"/>
      <c r="XZ38" s="160"/>
      <c r="YA38" s="160"/>
      <c r="YB38" s="160"/>
      <c r="YC38" s="160"/>
      <c r="YD38" s="160"/>
      <c r="YE38" s="160"/>
      <c r="YF38" s="160"/>
      <c r="YG38" s="160"/>
      <c r="YH38" s="160"/>
      <c r="YI38" s="160"/>
      <c r="YJ38" s="160"/>
      <c r="YK38" s="160"/>
      <c r="YL38" s="160"/>
      <c r="YM38" s="160"/>
      <c r="YN38" s="160"/>
      <c r="YO38" s="160"/>
      <c r="YP38" s="160"/>
      <c r="YQ38" s="160"/>
      <c r="YR38" s="160"/>
      <c r="YS38" s="160"/>
      <c r="YT38" s="160"/>
      <c r="YU38" s="160"/>
      <c r="YV38" s="160"/>
      <c r="YW38" s="160"/>
      <c r="YX38" s="160"/>
      <c r="YY38" s="160"/>
      <c r="YZ38" s="160"/>
      <c r="ZA38" s="160"/>
      <c r="ZB38" s="160"/>
      <c r="ZC38" s="160"/>
      <c r="ZD38" s="160"/>
      <c r="ZE38" s="160"/>
      <c r="ZF38" s="160"/>
      <c r="ZG38" s="160"/>
      <c r="ZH38" s="160"/>
      <c r="ZI38" s="160"/>
      <c r="ZJ38" s="160"/>
      <c r="ZK38" s="160"/>
      <c r="ZL38" s="160"/>
      <c r="ZM38" s="160"/>
      <c r="ZN38" s="160"/>
      <c r="ZO38" s="160"/>
      <c r="ZP38" s="160"/>
      <c r="ZQ38" s="160"/>
      <c r="ZR38" s="160"/>
      <c r="ZS38" s="160"/>
      <c r="ZT38" s="160"/>
      <c r="ZU38" s="160"/>
      <c r="ZV38" s="160"/>
      <c r="ZW38" s="160"/>
      <c r="ZX38" s="160"/>
      <c r="ZY38" s="160"/>
      <c r="ZZ38" s="160"/>
      <c r="AAA38" s="160"/>
      <c r="AAB38" s="160"/>
      <c r="AAC38" s="160"/>
      <c r="AAD38" s="160"/>
      <c r="AAE38" s="160"/>
      <c r="AAF38" s="160"/>
      <c r="AAG38" s="160"/>
      <c r="AAH38" s="160"/>
      <c r="AAI38" s="160"/>
      <c r="AAJ38" s="160"/>
      <c r="AAK38" s="160"/>
      <c r="AAL38" s="160"/>
      <c r="AAM38" s="160"/>
      <c r="AAN38" s="160"/>
      <c r="AAO38" s="160"/>
      <c r="AAP38" s="160"/>
      <c r="AAQ38" s="160"/>
      <c r="AAR38" s="160"/>
      <c r="AAS38" s="160"/>
      <c r="AAT38" s="160"/>
      <c r="AAU38" s="160"/>
      <c r="AAV38" s="160"/>
      <c r="AAW38" s="160"/>
      <c r="AAX38" s="160"/>
      <c r="AAY38" s="160"/>
      <c r="AAZ38" s="160"/>
      <c r="ABA38" s="160"/>
      <c r="ABB38" s="160"/>
      <c r="ABC38" s="160"/>
      <c r="ABD38" s="160"/>
      <c r="ABE38" s="160"/>
      <c r="ABF38" s="160"/>
      <c r="ABG38" s="160"/>
      <c r="ABH38" s="160"/>
      <c r="ABI38" s="160"/>
      <c r="ABJ38" s="160"/>
      <c r="ABK38" s="160"/>
      <c r="ABL38" s="160"/>
      <c r="ABM38" s="160"/>
      <c r="ABN38" s="160"/>
      <c r="ABO38" s="160"/>
      <c r="ABP38" s="160"/>
      <c r="ABQ38" s="160"/>
      <c r="ABR38" s="160"/>
      <c r="ABS38" s="160"/>
      <c r="ABT38" s="160"/>
      <c r="ABU38" s="160"/>
      <c r="ABV38" s="160"/>
      <c r="ABW38" s="160"/>
      <c r="ABX38" s="160"/>
      <c r="ABY38" s="160"/>
      <c r="ABZ38" s="160"/>
      <c r="ACA38" s="160"/>
      <c r="ACB38" s="160"/>
      <c r="ACC38" s="160"/>
      <c r="ACD38" s="160"/>
      <c r="ACE38" s="160"/>
      <c r="ACF38" s="160"/>
      <c r="ACG38" s="160"/>
      <c r="ACH38" s="160"/>
      <c r="ACI38" s="160"/>
      <c r="ACJ38" s="160"/>
      <c r="ACK38" s="160"/>
      <c r="ACL38" s="160"/>
      <c r="ACM38" s="160"/>
      <c r="ACN38" s="160"/>
      <c r="ACO38" s="160"/>
      <c r="ACP38" s="160"/>
      <c r="ACQ38" s="160"/>
      <c r="ACR38" s="160"/>
      <c r="ACS38" s="160"/>
      <c r="ACT38" s="160"/>
      <c r="ACU38" s="160"/>
      <c r="ACV38" s="160"/>
      <c r="ACW38" s="160"/>
      <c r="ACX38" s="160"/>
      <c r="ACY38" s="160"/>
      <c r="ACZ38" s="160"/>
      <c r="ADA38" s="160"/>
      <c r="ADB38" s="160"/>
      <c r="ADC38" s="160"/>
      <c r="ADD38" s="160"/>
      <c r="ADE38" s="160"/>
      <c r="ADF38" s="160"/>
      <c r="ADG38" s="160"/>
      <c r="ADH38" s="160"/>
      <c r="ADI38" s="160"/>
      <c r="ADJ38" s="160"/>
      <c r="ADK38" s="160"/>
      <c r="ADL38" s="160"/>
      <c r="ADM38" s="160"/>
      <c r="ADN38" s="160"/>
      <c r="ADO38" s="160"/>
      <c r="ADP38" s="160"/>
      <c r="ADQ38" s="160"/>
      <c r="ADR38" s="160"/>
      <c r="ADS38" s="160"/>
      <c r="ADT38" s="160"/>
      <c r="ADU38" s="160"/>
      <c r="ADV38" s="160"/>
      <c r="ADW38" s="160"/>
      <c r="ADX38" s="160"/>
      <c r="ADY38" s="160"/>
      <c r="ADZ38" s="160"/>
      <c r="AEA38" s="160"/>
      <c r="AEB38" s="160"/>
      <c r="AEC38" s="160"/>
      <c r="AED38" s="160"/>
      <c r="AEE38" s="160"/>
      <c r="AEF38" s="160"/>
      <c r="AEG38" s="160"/>
      <c r="AEH38" s="160"/>
      <c r="AEI38" s="160"/>
      <c r="AEJ38" s="160"/>
      <c r="AEK38" s="160"/>
      <c r="AEL38" s="160"/>
      <c r="AEM38" s="160"/>
      <c r="AEN38" s="160"/>
      <c r="AEO38" s="160"/>
      <c r="AEP38" s="160"/>
      <c r="AEQ38" s="160"/>
      <c r="AER38" s="160"/>
      <c r="AES38" s="160"/>
      <c r="AET38" s="160"/>
      <c r="AEU38" s="160"/>
      <c r="AEV38" s="160"/>
      <c r="AEW38" s="160"/>
      <c r="AEX38" s="160"/>
      <c r="AEY38" s="160"/>
      <c r="AEZ38" s="160"/>
      <c r="AFA38" s="160"/>
      <c r="AFB38" s="160"/>
      <c r="AFC38" s="160"/>
      <c r="AFD38" s="160"/>
      <c r="AFE38" s="160"/>
      <c r="AFF38" s="160"/>
      <c r="AFG38" s="160"/>
      <c r="AFH38" s="160"/>
      <c r="AFI38" s="160"/>
      <c r="AFJ38" s="160"/>
      <c r="AFK38" s="160"/>
      <c r="AFL38" s="160"/>
      <c r="AFM38" s="160"/>
      <c r="AFN38" s="160"/>
      <c r="AFO38" s="160"/>
      <c r="AFP38" s="160"/>
      <c r="AFQ38" s="160"/>
      <c r="AFR38" s="160"/>
      <c r="AFS38" s="160"/>
      <c r="AFT38" s="160"/>
      <c r="AFU38" s="160"/>
      <c r="AFV38" s="160"/>
      <c r="AFW38" s="160"/>
      <c r="AFX38" s="160"/>
      <c r="AFY38" s="160"/>
    </row>
    <row r="39" spans="1:857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</row>
    <row r="40" spans="1:857">
      <c r="A40" s="253" t="s">
        <v>74</v>
      </c>
      <c r="B40" s="253"/>
      <c r="C40" s="253"/>
      <c r="D40" s="253"/>
      <c r="E40" s="253"/>
      <c r="F40" s="253"/>
      <c r="G40" s="253"/>
    </row>
    <row r="41" spans="1:857" ht="14.4">
      <c r="A41" s="161">
        <v>0</v>
      </c>
      <c r="B41" s="23" t="s">
        <v>69</v>
      </c>
      <c r="C41" s="23"/>
      <c r="D41" s="23"/>
      <c r="E41" s="23"/>
      <c r="F41" s="23"/>
      <c r="G41" s="164"/>
    </row>
    <row r="42" spans="1:857" ht="14.4">
      <c r="A42" s="167">
        <v>0</v>
      </c>
      <c r="B42" s="23" t="s">
        <v>72</v>
      </c>
      <c r="C42" s="23"/>
      <c r="D42" s="23"/>
      <c r="E42" s="23"/>
      <c r="F42" s="23"/>
      <c r="G42" s="164"/>
    </row>
    <row r="43" spans="1:857" ht="14.4">
      <c r="A43" s="163">
        <v>0</v>
      </c>
      <c r="B43" s="23" t="s">
        <v>73</v>
      </c>
      <c r="C43" s="23"/>
      <c r="D43" s="23"/>
      <c r="E43" s="23"/>
      <c r="F43" s="23"/>
      <c r="G43" s="164"/>
    </row>
    <row r="44" spans="1:857" ht="14.4">
      <c r="A44" s="159">
        <v>0.5</v>
      </c>
      <c r="B44" s="23" t="s">
        <v>71</v>
      </c>
      <c r="C44" s="23"/>
      <c r="D44" s="23"/>
      <c r="E44" s="23"/>
      <c r="F44" s="23"/>
      <c r="G44" s="164"/>
    </row>
    <row r="45" spans="1:857" ht="14.4">
      <c r="A45" s="158">
        <v>1</v>
      </c>
      <c r="B45" s="165" t="s">
        <v>70</v>
      </c>
      <c r="C45" s="165"/>
      <c r="D45" s="165"/>
      <c r="E45" s="165"/>
      <c r="F45" s="165"/>
      <c r="G45" s="166"/>
    </row>
  </sheetData>
  <mergeCells count="1">
    <mergeCell ref="A40:G4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5"/>
  <dimension ref="A1:D17"/>
  <sheetViews>
    <sheetView workbookViewId="0">
      <selection activeCell="B17" sqref="B17"/>
    </sheetView>
  </sheetViews>
  <sheetFormatPr defaultRowHeight="13.2"/>
  <cols>
    <col min="1" max="2" width="9.109375" style="85"/>
    <col min="3" max="3" width="31.5546875" style="85" customWidth="1"/>
    <col min="4" max="4" width="15.5546875" customWidth="1"/>
  </cols>
  <sheetData>
    <row r="1" spans="1:4" s="83" customFormat="1">
      <c r="A1" s="84" t="s">
        <v>59</v>
      </c>
      <c r="B1" s="84" t="s">
        <v>38</v>
      </c>
      <c r="C1" s="84" t="s">
        <v>60</v>
      </c>
      <c r="D1" s="83" t="s">
        <v>67</v>
      </c>
    </row>
    <row r="2" spans="1:4">
      <c r="A2" s="85" t="s">
        <v>80</v>
      </c>
      <c r="B2" s="85" t="s">
        <v>9</v>
      </c>
      <c r="C2" s="85" t="s">
        <v>25</v>
      </c>
      <c r="D2" s="151">
        <f t="shared" ref="D2:D12" ca="1" si="0">EDATE(D3,-1)</f>
        <v>43789</v>
      </c>
    </row>
    <row r="3" spans="1:4">
      <c r="A3" s="85" t="s">
        <v>81</v>
      </c>
      <c r="B3" s="85" t="s">
        <v>20</v>
      </c>
      <c r="C3" s="85" t="s">
        <v>23</v>
      </c>
      <c r="D3" s="151">
        <f t="shared" ca="1" si="0"/>
        <v>43819</v>
      </c>
    </row>
    <row r="4" spans="1:4">
      <c r="A4" s="85" t="s">
        <v>82</v>
      </c>
      <c r="B4" s="85" t="s">
        <v>10</v>
      </c>
      <c r="C4" s="85" t="s">
        <v>26</v>
      </c>
      <c r="D4" s="151">
        <f t="shared" ca="1" si="0"/>
        <v>43850</v>
      </c>
    </row>
    <row r="5" spans="1:4">
      <c r="A5" s="85" t="s">
        <v>83</v>
      </c>
      <c r="B5" s="85" t="s">
        <v>7</v>
      </c>
      <c r="C5" s="85" t="s">
        <v>22</v>
      </c>
      <c r="D5" s="151">
        <f t="shared" ca="1" si="0"/>
        <v>43881</v>
      </c>
    </row>
    <row r="6" spans="1:4">
      <c r="A6" s="85" t="s">
        <v>84</v>
      </c>
      <c r="C6" s="85" t="s">
        <v>12</v>
      </c>
      <c r="D6" s="151">
        <f t="shared" ca="1" si="0"/>
        <v>43910</v>
      </c>
    </row>
    <row r="7" spans="1:4">
      <c r="A7" s="85" t="s">
        <v>85</v>
      </c>
      <c r="C7" s="85" t="s">
        <v>11</v>
      </c>
      <c r="D7" s="151">
        <f t="shared" ca="1" si="0"/>
        <v>43941</v>
      </c>
    </row>
    <row r="8" spans="1:4">
      <c r="A8" s="85" t="s">
        <v>86</v>
      </c>
      <c r="D8" s="151">
        <f t="shared" ca="1" si="0"/>
        <v>43971</v>
      </c>
    </row>
    <row r="9" spans="1:4">
      <c r="A9" s="85" t="s">
        <v>87</v>
      </c>
      <c r="D9" s="151">
        <f t="shared" ca="1" si="0"/>
        <v>44002</v>
      </c>
    </row>
    <row r="10" spans="1:4">
      <c r="A10" s="85" t="s">
        <v>158</v>
      </c>
      <c r="D10" s="151">
        <f t="shared" ca="1" si="0"/>
        <v>44032</v>
      </c>
    </row>
    <row r="11" spans="1:4">
      <c r="A11" s="85" t="s">
        <v>159</v>
      </c>
      <c r="D11" s="151">
        <f t="shared" ca="1" si="0"/>
        <v>44063</v>
      </c>
    </row>
    <row r="12" spans="1:4">
      <c r="A12" s="85" t="s">
        <v>160</v>
      </c>
      <c r="D12" s="151">
        <f t="shared" ca="1" si="0"/>
        <v>44094</v>
      </c>
    </row>
    <row r="13" spans="1:4">
      <c r="A13" s="85" t="s">
        <v>161</v>
      </c>
      <c r="D13" s="151">
        <f ca="1">EDATE(D14,-1)</f>
        <v>44124</v>
      </c>
    </row>
    <row r="14" spans="1:4">
      <c r="A14" s="85" t="s">
        <v>162</v>
      </c>
      <c r="D14" s="85" t="str">
        <f ca="1">TEXT(TODAY(),"mmm-yy")</f>
        <v>Nov-20</v>
      </c>
    </row>
    <row r="15" spans="1:4">
      <c r="A15" s="85" t="s">
        <v>163</v>
      </c>
      <c r="D15" s="152" t="s">
        <v>2</v>
      </c>
    </row>
    <row r="16" spans="1:4">
      <c r="A16" s="85" t="s">
        <v>164</v>
      </c>
      <c r="D16" s="152" t="s">
        <v>64</v>
      </c>
    </row>
    <row r="17" spans="1:4">
      <c r="A17" s="85" t="s">
        <v>165</v>
      </c>
      <c r="D17" s="152" t="s">
        <v>66</v>
      </c>
    </row>
  </sheetData>
  <phoneticPr fontId="38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Geral</vt:lpstr>
      <vt:lpstr>Produtos</vt:lpstr>
      <vt:lpstr>Tickets Recebidos</vt:lpstr>
      <vt:lpstr>Fórum e Sugestões</vt:lpstr>
      <vt:lpstr>Validações</vt:lpstr>
    </vt:vector>
  </TitlesOfParts>
  <Company>Level 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daniela.shmayev@levelup.com.br</dc:creator>
  <cp:lastModifiedBy>Daniel Nozaki</cp:lastModifiedBy>
  <cp:lastPrinted>2014-08-15T20:26:12Z</cp:lastPrinted>
  <dcterms:created xsi:type="dcterms:W3CDTF">2010-04-09T18:58:29Z</dcterms:created>
  <dcterms:modified xsi:type="dcterms:W3CDTF">2020-11-01T01:28:08Z</dcterms:modified>
</cp:coreProperties>
</file>